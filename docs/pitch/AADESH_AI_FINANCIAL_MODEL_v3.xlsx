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ADME" sheetId="1" state="visible" r:id="rId3"/>
    <sheet name="2. Inputs" sheetId="2" state="visible" r:id="rId4"/>
    <sheet name="3. API Cost Reality" sheetId="3" state="visible" r:id="rId5"/>
    <sheet name="4. Fixed Costs" sheetId="4" state="visible" r:id="rId6"/>
    <sheet name="5. Unit Economics" sheetId="5" state="visible" r:id="rId7"/>
    <sheet name="6. Free Trial Burn" sheetId="6" state="visible" r:id="rId8"/>
    <sheet name="7. 12-Month P&amp;L" sheetId="7" state="visible" r:id="rId9"/>
    <sheet name="8. Break-Even" sheetId="8" state="visible" r:id="rId10"/>
    <sheet name="9. CAC + LTV" sheetId="9" state="visible" r:id="rId11"/>
    <sheet name="10. Pricing Decisions" sheetId="10" state="visible" r:id="rId12"/>
    <sheet name="11. CRITICAL FINDINGS" sheetId="11" state="visible" r:id="rId13"/>
    <sheet name="12. Live Cost Tracker" sheetId="12" state="visible" r:id="rId14"/>
    <sheet name="13. Office Pla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<sst xmlns="http://schemas.openxmlformats.org/spreadsheetml/2006/main" count="764" uniqueCount="609">
  <si>
    <t xml:space="preserve">Aadesh AI Financial Model v3  ·  April 27, 2026  ·  Launch pricing LOCKED</t>
  </si>
  <si>
    <t xml:space="preserve">Purpose</t>
  </si>
  <si>
    <t xml:space="preserve">Real unit economics, break-even, and survival runway for Aadesh AI</t>
  </si>
  <si>
    <t xml:space="preserve">Built by</t>
  </si>
  <si>
    <t xml:space="preserve">Claude (CTO) from data in MASTER_CONTEXT.md and AADESH_AI_BLUEPRINT_v9_2_2.md</t>
  </si>
  <si>
    <t xml:space="preserve">Built on</t>
  </si>
  <si>
    <t xml:space="preserve">April 27, 2026 — v3 with launch pricing locked (Starter/Regular/Pro)</t>
  </si>
  <si>
    <t xml:space="preserve">COLOR CODING</t>
  </si>
  <si>
    <t xml:space="preserve">Blue text</t>
  </si>
  <si>
    <t xml:space="preserve">Hardcoded inputs you can change</t>
  </si>
  <si>
    <t xml:space="preserve">Black text</t>
  </si>
  <si>
    <t xml:space="preserve">Formulas — do not edit</t>
  </si>
  <si>
    <t xml:space="preserve">Green text</t>
  </si>
  <si>
    <t xml:space="preserve">Pulls from another sheet — do not edit</t>
  </si>
  <si>
    <t xml:space="preserve">Red text</t>
  </si>
  <si>
    <t xml:space="preserve">Warning or external reference</t>
  </si>
  <si>
    <t xml:space="preserve">Yellow background</t>
  </si>
  <si>
    <t xml:space="preserve">Key assumption — verify regularly</t>
  </si>
  <si>
    <t xml:space="preserve">SHEETS IN THIS WORKBOOK</t>
  </si>
  <si>
    <t xml:space="preserve">Sheet 2</t>
  </si>
  <si>
    <t xml:space="preserve">Inputs &amp; Assumptions</t>
  </si>
  <si>
    <t xml:space="preserve">Single source of truth — change values here</t>
  </si>
  <si>
    <t xml:space="preserve">Sheet 3</t>
  </si>
  <si>
    <t xml:space="preserve">API Cost Reality</t>
  </si>
  <si>
    <t xml:space="preserve">Real testing spend → per-order cost derivation</t>
  </si>
  <si>
    <t xml:space="preserve">Sheet 4</t>
  </si>
  <si>
    <t xml:space="preserve">Fixed Monthly Costs</t>
  </si>
  <si>
    <t xml:space="preserve">VPS, Supabase, domain, monitoring</t>
  </si>
  <si>
    <t xml:space="preserve">Sheet 5</t>
  </si>
  <si>
    <t xml:space="preserve">Per-Order Unit Economics</t>
  </si>
  <si>
    <t xml:space="preserve">For each pack: revenue → costs → real margin</t>
  </si>
  <si>
    <t xml:space="preserve">Sheet 6</t>
  </si>
  <si>
    <t xml:space="preserve">Free Trial Burn</t>
  </si>
  <si>
    <t xml:space="preserve">Cost of free trials at various conversion rates</t>
  </si>
  <si>
    <t xml:space="preserve">Sheet 7</t>
  </si>
  <si>
    <t xml:space="preserve">12-Month P&amp;L</t>
  </si>
  <si>
    <t xml:space="preserve">Three scenarios: conservative, base, upside</t>
  </si>
  <si>
    <t xml:space="preserve">Sheet 8</t>
  </si>
  <si>
    <t xml:space="preserve">Break-Even Analysis</t>
  </si>
  <si>
    <t xml:space="preserve">Users needed at different cost levels</t>
  </si>
  <si>
    <t xml:space="preserve">Sheet 9</t>
  </si>
  <si>
    <t xml:space="preserve">CAC + LTV</t>
  </si>
  <si>
    <t xml:space="preserve">Founder time per user; transfer impact</t>
  </si>
  <si>
    <t xml:space="preserve">Sheet 10</t>
  </si>
  <si>
    <t xml:space="preserve">Pricing Decisions</t>
  </si>
  <si>
    <t xml:space="preserve">Should pricing change? Math says...</t>
  </si>
  <si>
    <t xml:space="preserve">Sheet 11</t>
  </si>
  <si>
    <t xml:space="preserve">CRITICAL FINDINGS</t>
  </si>
  <si>
    <t xml:space="preserve">Issues uncovered while building this model</t>
  </si>
  <si>
    <t xml:space="preserve">Sheet 12</t>
  </si>
  <si>
    <t xml:space="preserve">Live Cost Tracker</t>
  </si>
  <si>
    <t xml:space="preserve">Empty template — populate with real production orders</t>
  </si>
  <si>
    <t xml:space="preserve">Sheet 13</t>
  </si>
  <si>
    <t xml:space="preserve">Office Plan Economics</t>
  </si>
  <si>
    <t xml:space="preserve">Three office-tier plans for shared-login scenarios</t>
  </si>
  <si>
    <t xml:space="preserve">HOW TO USE</t>
  </si>
  <si>
    <t xml:space="preserve">Step 1</t>
  </si>
  <si>
    <t xml:space="preserve">Go to Sheet 2 (Inputs)</t>
  </si>
  <si>
    <t xml:space="preserve">Adjust any blue cell to test scenarios</t>
  </si>
  <si>
    <t xml:space="preserve">Step 2</t>
  </si>
  <si>
    <t xml:space="preserve">All other sheets recalculate automatically</t>
  </si>
  <si>
    <t xml:space="preserve">Step 3</t>
  </si>
  <si>
    <t xml:space="preserve">Read Sheet 11 first if you want the surprises</t>
  </si>
  <si>
    <t xml:space="preserve">INPUTS &amp; ASSUMPTIONS  ·  Change values in BLUE only</t>
  </si>
  <si>
    <t xml:space="preserve">All other sheets pull from this sheet. Edit any blue cell to test scenarios.</t>
  </si>
  <si>
    <t xml:space="preserve">§ ANTHROPIC API COSTS (April 2026 actual rates)</t>
  </si>
  <si>
    <t xml:space="preserve">Input tokens</t>
  </si>
  <si>
    <t xml:space="preserve">$/M</t>
  </si>
  <si>
    <t xml:space="preserve">Source: console.anthropic.com</t>
  </si>
  <si>
    <t xml:space="preserve">Output tokens</t>
  </si>
  <si>
    <t xml:space="preserve">Cache write (first time)</t>
  </si>
  <si>
    <t xml:space="preserve">25% premium over input</t>
  </si>
  <si>
    <t xml:space="preserve">Cache read (cache hit)</t>
  </si>
  <si>
    <t xml:space="preserve">90% discount on cached input</t>
  </si>
  <si>
    <t xml:space="preserve">USD to INR exchange rate</t>
  </si>
  <si>
    <t xml:space="preserve">₹/USD</t>
  </si>
  <si>
    <t xml:space="preserve">Approximate April 2026</t>
  </si>
  <si>
    <t xml:space="preserve">India tax markup</t>
  </si>
  <si>
    <t xml:space="preserve">%</t>
  </si>
  <si>
    <t xml:space="preserve">2-3% forex + 18% GST on imports</t>
  </si>
  <si>
    <t xml:space="preserve">§ TYPICAL ORDER TOKEN USAGE</t>
  </si>
  <si>
    <t xml:space="preserve">Step 1 — PDF Vision input tokens</t>
  </si>
  <si>
    <t xml:space="preserve">tokens</t>
  </si>
  <si>
    <t xml:space="preserve">20-page CamScanner PDF average</t>
  </si>
  <si>
    <t xml:space="preserve">Step 1 — PDF Vision output tokens</t>
  </si>
  <si>
    <t xml:space="preserve">Step 2 — Generation input (NEW per order)</t>
  </si>
  <si>
    <t xml:space="preserve">Case details + officer answers</t>
  </si>
  <si>
    <t xml:space="preserve">Step 2 — Generation cache READ (refs)</t>
  </si>
  <si>
    <t xml:space="preserve">5 reference orders cached</t>
  </si>
  <si>
    <t xml:space="preserve">Step 2 — Generation cache READ (sysprompt)</t>
  </si>
  <si>
    <t xml:space="preserve">V3.2.6 system prompt cached</t>
  </si>
  <si>
    <t xml:space="preserve">Step 2 — Generation output tokens</t>
  </si>
  <si>
    <t xml:space="preserve">Full Kannada order ~14 tokens/word</t>
  </si>
  <si>
    <t xml:space="preserve">Step 3 — Self-audit input tokens</t>
  </si>
  <si>
    <t xml:space="preserve">Step 3 — Self-audit output tokens</t>
  </si>
  <si>
    <t xml:space="preserve">§ OPERATIONAL ASSUMPTIONS</t>
  </si>
  <si>
    <t xml:space="preserve">Cache hit rate (% orders with hot cache)</t>
  </si>
  <si>
    <t xml:space="preserve">50% sporadic, 50% in-burst</t>
  </si>
  <si>
    <t xml:space="preserve">Self-audit failure rate (regen needed)</t>
  </si>
  <si>
    <t xml:space="preserve">Buffer for regeneration</t>
  </si>
  <si>
    <t xml:space="preserve">Failed-generation rate (refunded, no revenue)</t>
  </si>
  <si>
    <t xml:space="preserve">Buffer for failures</t>
  </si>
  <si>
    <t xml:space="preserve">§ MONTHLY FIXED COSTS (₹)</t>
  </si>
  <si>
    <t xml:space="preserve">DigitalOcean Bangalore VPS</t>
  </si>
  <si>
    <t xml:space="preserve">₹/month</t>
  </si>
  <si>
    <t xml:space="preserve">1GB plan; upgrade at user 4</t>
  </si>
  <si>
    <t xml:space="preserve">Supabase Mumbai</t>
  </si>
  <si>
    <t xml:space="preserve">Free tier; ₹2,100 at upgrade</t>
  </si>
  <si>
    <t xml:space="preserve">Domain (aadesh-ai.in)</t>
  </si>
  <si>
    <t xml:space="preserve">₹1,200/year amortised</t>
  </si>
  <si>
    <t xml:space="preserve">Email / SMS / monitoring</t>
  </si>
  <si>
    <t xml:space="preserve">UptimeRobot, transactional</t>
  </si>
  <si>
    <t xml:space="preserve">Backups / logging</t>
  </si>
  <si>
    <t xml:space="preserve">DO Spaces backup</t>
  </si>
  <si>
    <t xml:space="preserve">GitHub Actions / dev tools</t>
  </si>
  <si>
    <t xml:space="preserve">Free tier</t>
  </si>
  <si>
    <t xml:space="preserve">Founder tools (Claude Pro, etc.)</t>
  </si>
  <si>
    <t xml:space="preserve">Claude Pro ₹1,700</t>
  </si>
  <si>
    <t xml:space="preserve">Misc / contingency</t>
  </si>
  <si>
    <t xml:space="preserve">Domain renewal, fees, etc.</t>
  </si>
  <si>
    <t xml:space="preserve">§ PRICING (LOCKED LAUNCH PRICING — April 27, 2026)</t>
  </si>
  <si>
    <t xml:space="preserve">Starter — Price</t>
  </si>
  <si>
    <t xml:space="preserve">₹</t>
  </si>
  <si>
    <t xml:space="preserve">LOCKED ✓ Launch pricing — replaces Pack A</t>
  </si>
  <si>
    <t xml:space="preserve">Starter — Credits</t>
  </si>
  <si>
    <t xml:space="preserve">orders</t>
  </si>
  <si>
    <t xml:space="preserve">3 orders</t>
  </si>
  <si>
    <t xml:space="preserve">Regular — Price</t>
  </si>
  <si>
    <t xml:space="preserve">LOCKED ✓ Launch pricing — replaces Pack B</t>
  </si>
  <si>
    <t xml:space="preserve">Regular — Credits</t>
  </si>
  <si>
    <t xml:space="preserve">5 orders</t>
  </si>
  <si>
    <t xml:space="preserve">Pro — Price</t>
  </si>
  <si>
    <t xml:space="preserve">LOCKED ✓ Launch pricing — replaces Pack C</t>
  </si>
  <si>
    <t xml:space="preserve">Pro — Credits</t>
  </si>
  <si>
    <t xml:space="preserve">10 orders</t>
  </si>
  <si>
    <t xml:space="preserve">Bulk (HIDDEN at launch) — Price</t>
  </si>
  <si>
    <t xml:space="preserve">⏳ Hidden — unlock after 20-30 paid orders</t>
  </si>
  <si>
    <t xml:space="preserve">Bulk (HIDDEN at launch) — Credits</t>
  </si>
  <si>
    <t xml:space="preserve">25 orders</t>
  </si>
  <si>
    <t xml:space="preserve">§ PAYMENT &amp; TAX</t>
  </si>
  <si>
    <t xml:space="preserve">Razorpay fee</t>
  </si>
  <si>
    <t xml:space="preserve">3.53% per transaction</t>
  </si>
  <si>
    <t xml:space="preserve">GST applicable (1=yes, 0=no)</t>
  </si>
  <si>
    <t xml:space="preserve">flag</t>
  </si>
  <si>
    <t xml:space="preserve">Set to 1 once registered</t>
  </si>
  <si>
    <t xml:space="preserve">GST rate</t>
  </si>
  <si>
    <t xml:space="preserve">18% on SaaS in India</t>
  </si>
  <si>
    <t xml:space="preserve">Income tax rate (corporate or personal)</t>
  </si>
  <si>
    <t xml:space="preserve">Approximate effective rate</t>
  </si>
  <si>
    <t xml:space="preserve">§ USER BEHAVIOR ASSUMPTIONS</t>
  </si>
  <si>
    <t xml:space="preserve">Avg orders per active user per month</t>
  </si>
  <si>
    <t xml:space="preserve">Realistic mid-volume use</t>
  </si>
  <si>
    <t xml:space="preserve">Free trial credits given per signup</t>
  </si>
  <si>
    <t xml:space="preserve">LOCKED — 1st order free per locked decision</t>
  </si>
  <si>
    <t xml:space="preserve">Free-to-paid conversion rate</t>
  </si>
  <si>
    <t xml:space="preserve">30% of trial users convert</t>
  </si>
  <si>
    <t xml:space="preserve">Avg user retention (months)</t>
  </si>
  <si>
    <t xml:space="preserve">months</t>
  </si>
  <si>
    <t xml:space="preserve">Karnataka transfers cycle ~12-18mo</t>
  </si>
  <si>
    <t xml:space="preserve">Pack mix — % users on Starter</t>
  </si>
  <si>
    <t xml:space="preserve">Cheapest, expected entry pack</t>
  </si>
  <si>
    <t xml:space="preserve">Pack mix — % users on Regular</t>
  </si>
  <si>
    <t xml:space="preserve">Best value perception</t>
  </si>
  <si>
    <t xml:space="preserve">Pack mix — % users on Pro</t>
  </si>
  <si>
    <t xml:space="preserve">Heavy users</t>
  </si>
  <si>
    <t xml:space="preserve">Pack mix — % on Bulk (HIDDEN until proven)</t>
  </si>
  <si>
    <t xml:space="preserve">⏳ Hidden at launch</t>
  </si>
  <si>
    <t xml:space="preserve">§ FOUNDER ASSUMPTIONS</t>
  </si>
  <si>
    <t xml:space="preserve">Founder hours / week on Aadesh</t>
  </si>
  <si>
    <t xml:space="preserve">hours</t>
  </si>
  <si>
    <t xml:space="preserve">Founder notional hourly value</t>
  </si>
  <si>
    <t xml:space="preserve">₹/hour</t>
  </si>
  <si>
    <t xml:space="preserve">Civil engineering opportunity cost</t>
  </si>
  <si>
    <t xml:space="preserve">Founder hours per user acquired (CAC)</t>
  </si>
  <si>
    <t xml:space="preserve">Demos, follow-up, onboarding</t>
  </si>
  <si>
    <t xml:space="preserve">§ PRODUCTION COST SEPARATION (ChatGPT v2 correction)</t>
  </si>
  <si>
    <t xml:space="preserve">Number of production orders generated</t>
  </si>
  <si>
    <t xml:space="preserve">Update from live tracker; resets R&amp;D vs production</t>
  </si>
  <si>
    <t xml:space="preserve">Production cost per order (live measured)</t>
  </si>
  <si>
    <t xml:space="preserve">Update from Sheet 12 once 10+ real orders</t>
  </si>
  <si>
    <t xml:space="preserve">R&amp;D cost per test (locked at $23.45/29)</t>
  </si>
  <si>
    <t xml:space="preserve">Historical — testing only, not production</t>
  </si>
  <si>
    <t xml:space="preserve">§ SUPPORT &amp; OPERATIONS (ChatGPT v2 addition)</t>
  </si>
  <si>
    <t xml:space="preserve">Support minutes per order (avg)</t>
  </si>
  <si>
    <t xml:space="preserve">minutes</t>
  </si>
  <si>
    <t xml:space="preserve">Whatsapp/email support burden</t>
  </si>
  <si>
    <t xml:space="preserve">Support cost per minute (founder time)</t>
  </si>
  <si>
    <t xml:space="preserve">₹/min</t>
  </si>
  <si>
    <t xml:space="preserve">₹500/hour ÷ 60</t>
  </si>
  <si>
    <t xml:space="preserve">Refund rate (orders refunded after delivery)</t>
  </si>
  <si>
    <t xml:space="preserve">After credit consumed, user disputes</t>
  </si>
  <si>
    <t xml:space="preserve">Manual correction rate (we fix and re-deliver)</t>
  </si>
  <si>
    <t xml:space="preserve">Officer reports issue, we re-generate</t>
  </si>
  <si>
    <t xml:space="preserve">§ FOUNDER SALARY TRIGGER RULE (ChatGPT v2 addition)</t>
  </si>
  <si>
    <t xml:space="preserve">Founder draws salary when MRR exceeds (₹/month)</t>
  </si>
  <si>
    <t xml:space="preserve">Trigger threshold</t>
  </si>
  <si>
    <t xml:space="preserve">Consecutive months of MRR above threshold required</t>
  </si>
  <si>
    <t xml:space="preserve">Don't draw on one good month</t>
  </si>
  <si>
    <t xml:space="preserve">Founder monthly salary when triggered</t>
  </si>
  <si>
    <t xml:space="preserve">50% of trigger MRR is conservative</t>
  </si>
  <si>
    <t xml:space="preserve">§ SHARED-LOGIN LEAKAGE (ChatGPT v2 addition)</t>
  </si>
  <si>
    <t xml:space="preserve">Average people sharing one paid account</t>
  </si>
  <si>
    <t xml:space="preserve">people</t>
  </si>
  <si>
    <t xml:space="preserve">1.0 = no sharing; 2.0 = full pair sharing</t>
  </si>
  <si>
    <t xml:space="preserve">Effective revenue retention factor</t>
  </si>
  <si>
    <t xml:space="preserve">1 / sharing factor; auto-calculated below</t>
  </si>
  <si>
    <t xml:space="preserve">§ GST THRESHOLD DISCLAIMER (ChatGPT v2 correction)</t>
  </si>
  <si>
    <t xml:space="preserve">⚠ CA CONFIRMATION REQUIRED</t>
  </si>
  <si>
    <t xml:space="preserve">GST threshold ₹15L is policy guidance, NOT legal certainty.</t>
  </si>
  <si>
    <t xml:space="preserve">Threshold depends on: service type, state, interstate supply, payment platform.</t>
  </si>
  <si>
    <t xml:space="preserve">Verify with a Karnataka-registered Chartered Accountant before final pricing decisions.</t>
  </si>
  <si>
    <t xml:space="preserve">§ OFFICE PLAN INPUTS (ChatGPT v2 addition)</t>
  </si>
  <si>
    <t xml:space="preserve">Office Pilot — Price/month</t>
  </si>
  <si>
    <t xml:space="preserve">5 users, 100 orders shared pool</t>
  </si>
  <si>
    <t xml:space="preserve">Office Pilot — Users included</t>
  </si>
  <si>
    <t xml:space="preserve">users</t>
  </si>
  <si>
    <t xml:space="preserve">Office Pilot — Orders pool</t>
  </si>
  <si>
    <t xml:space="preserve">Office Standard — Price/month</t>
  </si>
  <si>
    <t xml:space="preserve">10 users, 200 orders</t>
  </si>
  <si>
    <t xml:space="preserve">Office Standard — Users included</t>
  </si>
  <si>
    <t xml:space="preserve">Office Standard — Orders pool</t>
  </si>
  <si>
    <t xml:space="preserve">Office District-heavy — Price/month</t>
  </si>
  <si>
    <t xml:space="preserve">20 users, 500 orders</t>
  </si>
  <si>
    <t xml:space="preserve">Office District-heavy — Users</t>
  </si>
  <si>
    <t xml:space="preserve">Office District-heavy — Orders pool</t>
  </si>
  <si>
    <t xml:space="preserve">API COST REALITY  ·  Per-order cost derived from real Anthropic rates</t>
  </si>
  <si>
    <t xml:space="preserve">A. Actual testing spend to date (from MASTER_CONTEXT.md)</t>
  </si>
  <si>
    <t xml:space="preserve">Event</t>
  </si>
  <si>
    <t xml:space="preserve">Cost (USD)</t>
  </si>
  <si>
    <t xml:space="preserve">Cost (₹)</t>
  </si>
  <si>
    <t xml:space="preserve">Notes</t>
  </si>
  <si>
    <t xml:space="preserve">Starting balance</t>
  </si>
  <si>
    <t xml:space="preserve">Free credit</t>
  </si>
  <si>
    <t xml:space="preserve">Thinking-mode accident (Apr 11)</t>
  </si>
  <si>
    <t xml:space="preserve">D7 decision: never use thinking mode</t>
  </si>
  <si>
    <t xml:space="preserve">V3.2.3-V3.2.6 testing</t>
  </si>
  <si>
    <t xml:space="preserve">Synthetic test runs</t>
  </si>
  <si>
    <t xml:space="preserve">Current balance</t>
  </si>
  <si>
    <t xml:space="preserve">As of MASTER_CONTEXT date</t>
  </si>
  <si>
    <t xml:space="preserve">TOTAL TESTING SPEND</t>
  </si>
  <si>
    <t xml:space="preserve">$50 - $26.55</t>
  </si>
  <si>
    <t xml:space="preserve">B. Per-order cost calculation (from token usage assumptions)</t>
  </si>
  <si>
    <t xml:space="preserve">Step</t>
  </si>
  <si>
    <t xml:space="preserve">What happens</t>
  </si>
  <si>
    <t xml:space="preserve">Cost (₹ pre-tax)</t>
  </si>
  <si>
    <t xml:space="preserve">Cost (₹ with India tax)</t>
  </si>
  <si>
    <t xml:space="preserve">PDF Vision read (avg 20 pages)</t>
  </si>
  <si>
    <t xml:space="preserve">No cache benefit — different PDF each time</t>
  </si>
  <si>
    <t xml:space="preserve">Step 2 — cache HOT</t>
  </si>
  <si>
    <t xml:space="preserve">Generation with refs+sysprompt cached</t>
  </si>
  <si>
    <t xml:space="preserve">90% discount on cached tokens</t>
  </si>
  <si>
    <t xml:space="preserve">Step 2 — cache COLD</t>
  </si>
  <si>
    <t xml:space="preserve">Generation, refs+sysprompt cache write</t>
  </si>
  <si>
    <t xml:space="preserve">25% premium on first write of cache</t>
  </si>
  <si>
    <t xml:space="preserve">Self-audit scoring</t>
  </si>
  <si>
    <t xml:space="preserve">No cache benefit</t>
  </si>
  <si>
    <t xml:space="preserve">PER-ORDER (cache HOT — best case)</t>
  </si>
  <si>
    <t xml:space="preserve">Officer in burst session</t>
  </si>
  <si>
    <t xml:space="preserve">PER-ORDER (cache COLD — first order)</t>
  </si>
  <si>
    <t xml:space="preserve">First order of session, cache write</t>
  </si>
  <si>
    <t xml:space="preserve">PER-ORDER (BLENDED — realistic)</t>
  </si>
  <si>
    <t xml:space="preserve">Weighted by cache hit rate</t>
  </si>
  <si>
    <t xml:space="preserve">PER-ORDER (with regen + failure buffer)</t>
  </si>
  <si>
    <t xml:space="preserve">What we should budget against revenue</t>
  </si>
  <si>
    <t xml:space="preserve">C. Real testing spend ÷ test orders = real per-test cost</t>
  </si>
  <si>
    <t xml:space="preserve">Total testing spend (USD)</t>
  </si>
  <si>
    <t xml:space="preserve">Number of test orders generated</t>
  </si>
  <si>
    <t xml:space="preserve">From handbook v3.2 — "29 test orders generated"</t>
  </si>
  <si>
    <t xml:space="preserve">Implied real cost per test (USD)</t>
  </si>
  <si>
    <t xml:space="preserve">Implied real cost per test (₹)</t>
  </si>
  <si>
    <t xml:space="preserve">Production target per order (this model)</t>
  </si>
  <si>
    <t xml:space="preserve">Why production should be cheaper</t>
  </si>
  <si>
    <t xml:space="preserve">Production has cache hits + no thinking mode</t>
  </si>
  <si>
    <t xml:space="preserve">D. Sensitivity: what if Anthropic doubles prices?</t>
  </si>
  <si>
    <t xml:space="preserve">Scenario</t>
  </si>
  <si>
    <t xml:space="preserve">Multiplier</t>
  </si>
  <si>
    <t xml:space="preserve">Per-order cost (₹)</t>
  </si>
  <si>
    <t xml:space="preserve">Δ vs base</t>
  </si>
  <si>
    <t xml:space="preserve">Implication</t>
  </si>
  <si>
    <t xml:space="preserve">Base case (current rates)</t>
  </si>
  <si>
    <t xml:space="preserve">Current operations</t>
  </si>
  <si>
    <t xml:space="preserve">Anthropic +25% (forex hit)</t>
  </si>
  <si>
    <t xml:space="preserve">Margin compresses</t>
  </si>
  <si>
    <t xml:space="preserve">Anthropic +50% (model upgrade)</t>
  </si>
  <si>
    <t xml:space="preserve">May need to raise prices</t>
  </si>
  <si>
    <t xml:space="preserve">Anthropic +100% (worst case)</t>
  </si>
  <si>
    <t xml:space="preserve">Pricing review required</t>
  </si>
  <si>
    <t xml:space="preserve">Anthropic +50% AND we switch to Sonnet 5</t>
  </si>
  <si>
    <t xml:space="preserve">Newer model could be cheaper</t>
  </si>
  <si>
    <t xml:space="preserve">FIXED MONTHLY COSTS  ·  Now vs at scale</t>
  </si>
  <si>
    <t xml:space="preserve">Cost Item</t>
  </si>
  <si>
    <t xml:space="preserve">Today (₹/month)</t>
  </si>
  <si>
    <t xml:space="preserve">At 50 users (₹/month)</t>
  </si>
  <si>
    <t xml:space="preserve">At 200 users (₹/month)</t>
  </si>
  <si>
    <t xml:space="preserve">DigitalOcean VPS</t>
  </si>
  <si>
    <t xml:space="preserve">1GB now → 4GB at user 4 → 16GB at scale</t>
  </si>
  <si>
    <t xml:space="preserve">Supabase</t>
  </si>
  <si>
    <t xml:space="preserve">Free tier → Pro at 3+ users</t>
  </si>
  <si>
    <t xml:space="preserve">Domain</t>
  </si>
  <si>
    <t xml:space="preserve">Volume scales</t>
  </si>
  <si>
    <t xml:space="preserve">DO Spaces grows with data</t>
  </si>
  <si>
    <t xml:space="preserve">Free tier OK</t>
  </si>
  <si>
    <t xml:space="preserve">Founder tools</t>
  </si>
  <si>
    <t xml:space="preserve">Claude Pro</t>
  </si>
  <si>
    <t xml:space="preserve">Domain renewals, fees</t>
  </si>
  <si>
    <t xml:space="preserve">TOTAL FIXED MONTHLY COST</t>
  </si>
  <si>
    <t xml:space="preserve">Fixed cost allocation per order at different volumes</t>
  </si>
  <si>
    <t xml:space="preserve">Volume scenario</t>
  </si>
  <si>
    <t xml:space="preserve">Orders/month</t>
  </si>
  <si>
    <t xml:space="preserve">Total fixed cost</t>
  </si>
  <si>
    <t xml:space="preserve">₹/order allocation</t>
  </si>
  <si>
    <t xml:space="preserve">Today (10 orders)</t>
  </si>
  <si>
    <t xml:space="preserve">30 orders/month</t>
  </si>
  <si>
    <t xml:space="preserve">100 orders/month (~10 users)</t>
  </si>
  <si>
    <t xml:space="preserve">500 orders/month (~50 users)</t>
  </si>
  <si>
    <t xml:space="preserve">2000 orders/month (~200 users)</t>
  </si>
  <si>
    <t xml:space="preserve">PER-ORDER UNIT ECONOMICS  ·  Real margin per pack after all costs</t>
  </si>
  <si>
    <t xml:space="preserve">Component</t>
  </si>
  <si>
    <t xml:space="preserve">Starter (₹999)</t>
  </si>
  <si>
    <t xml:space="preserve">Regular (₹1,499)</t>
  </si>
  <si>
    <t xml:space="preserve">Pro (₹2,499)</t>
  </si>
  <si>
    <t xml:space="preserve">Bulk ⏳ HIDDEN (₹4,999)</t>
  </si>
  <si>
    <t xml:space="preserve">Formula / Notes</t>
  </si>
  <si>
    <t xml:space="preserve">Pack price (gross)</t>
  </si>
  <si>
    <t xml:space="preserve">From Inputs sheet (live Razorpay)</t>
  </si>
  <si>
    <t xml:space="preserve">Credits per pack</t>
  </si>
  <si>
    <t xml:space="preserve">Orders per pack</t>
  </si>
  <si>
    <t xml:space="preserve">User price per order</t>
  </si>
  <si>
    <t xml:space="preserve">price / credits</t>
  </si>
  <si>
    <t xml:space="preserve">Less: GST (if registered)</t>
  </si>
  <si>
    <t xml:space="preserve">GST is included in price; remit to govt</t>
  </si>
  <si>
    <t xml:space="preserve">Less: Razorpay fee (3.53%)</t>
  </si>
  <si>
    <t xml:space="preserve">Per-transaction allocation</t>
  </si>
  <si>
    <t xml:space="preserve">Less: AI cost per order</t>
  </si>
  <si>
    <t xml:space="preserve">Blended Sonnet 4.6 with regen buffer</t>
  </si>
  <si>
    <t xml:space="preserve">Less: Fixed-cost allocation</t>
  </si>
  <si>
    <t xml:space="preserve">Spread over 100 orders/month baseline</t>
  </si>
  <si>
    <t xml:space="preserve">Less: Failed-generation buffer</t>
  </si>
  <si>
    <t xml:space="preserve">Cost eaten on failed orders</t>
  </si>
  <si>
    <t xml:space="preserve">CONTRIBUTION PER ORDER</t>
  </si>
  <si>
    <t xml:space="preserve">sum of above</t>
  </si>
  <si>
    <t xml:space="preserve">Margin %</t>
  </si>
  <si>
    <t xml:space="preserve">contribution / user price</t>
  </si>
  <si>
    <t xml:space="preserve">TOTAL PROFIT per pack sold</t>
  </si>
  <si>
    <t xml:space="preserve">Comparison: model says vs handbook v3.2 says</t>
  </si>
  <si>
    <t xml:space="preserve">Old Pack A/B/C/D pricing (DEPRECATED)</t>
  </si>
  <si>
    <t xml:space="preserve">Old prices ₹999/7, ₹1,999/18 etc — REPLACED</t>
  </si>
  <si>
    <t xml:space="preserve">This model says</t>
  </si>
  <si>
    <t xml:space="preserve">Real margin after all real costs</t>
  </si>
  <si>
    <t xml:space="preserve">Δ (model - handbook)</t>
  </si>
  <si>
    <t xml:space="preserve">Negative = handbook overstated margin</t>
  </si>
  <si>
    <t xml:space="preserve">⭐ LAUNCH PRICING MARGIN VERIFICATION</t>
  </si>
  <si>
    <t xml:space="preserve">New pack</t>
  </si>
  <si>
    <t xml:space="preserve">Per-order revenue</t>
  </si>
  <si>
    <t xml:space="preserve">AI cost (current)</t>
  </si>
  <si>
    <t xml:space="preserve">All-in cost</t>
  </si>
  <si>
    <t xml:space="preserve">Contribution</t>
  </si>
  <si>
    <t xml:space="preserve">Starter (₹999/3)</t>
  </si>
  <si>
    <t xml:space="preserve">Regular (₹1,499/5)</t>
  </si>
  <si>
    <t xml:space="preserve">Pro (₹2,499/10)</t>
  </si>
  <si>
    <t xml:space="preserve">⚠ NOTE: At current AI cost (₹56/order with regen+failure buffer), all 3 launch packs should show POSITIVE contribution.</t>
  </si>
  <si>
    <t xml:space="preserve">Track real production cost in Sheet 12 — if real cost stays below ₹100/order, all packs are profitable.</t>
  </si>
  <si>
    <t xml:space="preserve">FREE TRIAL BURN  ·  Cost of acquiring users at different conversion rates</t>
  </si>
  <si>
    <t xml:space="preserve">Trial burn cost = Free signups × Free credits × AI cost per order</t>
  </si>
  <si>
    <t xml:space="preserve">Free signups in month</t>
  </si>
  <si>
    <t xml:space="preserve">Free credits per user</t>
  </si>
  <si>
    <t xml:space="preserve">AI cost per order</t>
  </si>
  <si>
    <t xml:space="preserve">Total burn (₹)</t>
  </si>
  <si>
    <t xml:space="preserve">Conversion rate</t>
  </si>
  <si>
    <t xml:space="preserve">Paid users acquired</t>
  </si>
  <si>
    <t xml:space="preserve">CAC per paid user (₹)</t>
  </si>
  <si>
    <t xml:space="preserve">At 30% conversion (your assumption), CAC from free trial alone:</t>
  </si>
  <si>
    <t xml:space="preserve">free credits × AI cost per order ÷ conversion rate</t>
  </si>
  <si>
    <t xml:space="preserve">3 × ~₹35 ÷ 0.30 = ~₹350 per paid user from API burn alone</t>
  </si>
  <si>
    <t xml:space="preserve">Add founder time CAC:</t>
  </si>
  <si>
    <t xml:space="preserve">founder hours per user × ₹/hour</t>
  </si>
  <si>
    <t xml:space="preserve">TOTAL CAC per paid user (free-trial cost + founder time)</t>
  </si>
  <si>
    <t xml:space="preserve">12-MONTH P&amp;L  ·  Three scenarios</t>
  </si>
  <si>
    <t xml:space="preserve">§ CONSERVATIVE SCENARIO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</si>
  <si>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</si>
  <si>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</si>
  <si>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</si>
  <si>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</si>
  <si>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</si>
  <si>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</si>
  <si>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</si>
  <si>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</si>
  <si>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</si>
  <si>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</si>
  <si>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</si>
  <si>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</si>
  <si>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</si>
  <si>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Total</t>
  </si>
  <si>
    <t xml:space="preserve">Active paying users</t>
  </si>
  <si>
    <t xml:space="preserve">Orders generated</t>
  </si>
  <si>
    <t xml:space="preserve">Avg revenue per order (₹)</t>
  </si>
  <si>
    <t xml:space="preserve">Revenue (gross ₹)</t>
  </si>
  <si>
    <t xml:space="preserve">AI cost (₹)</t>
  </si>
  <si>
    <t xml:space="preserve">Razorpay fees (₹)</t>
  </si>
  <si>
    <t xml:space="preserve">GST remitted (₹)</t>
  </si>
  <si>
    <t xml:space="preserve">Fixed monthly costs (₹)</t>
  </si>
  <si>
    <t xml:space="preserve">Pre-tax profit (₹)</t>
  </si>
  <si>
    <t xml:space="preserve">Cumulative profit (₹)</t>
  </si>
  <si>
    <t xml:space="preserve">§ BASE SCENARIO</t>
  </si>
  <si>
    <t xml:space="preserve">§ UPSIDE SCENARIO</t>
  </si>
  <si>
    <t xml:space="preserve">BREAK-EVEN ANALYSIS  ·  How many users do we need?</t>
  </si>
  <si>
    <t xml:space="preserve">Break-even at different AI cost scenarios</t>
  </si>
  <si>
    <t xml:space="preserve">Avg revenue per order</t>
  </si>
  <si>
    <t xml:space="preserve">Variable cost per order</t>
  </si>
  <si>
    <t xml:space="preserve">Contribution per order</t>
  </si>
  <si>
    <t xml:space="preserve">Fixed cost / month</t>
  </si>
  <si>
    <t xml:space="preserve">Orders needed / month</t>
  </si>
  <si>
    <t xml:space="preserve">Users needed (12 orders/user)</t>
  </si>
  <si>
    <t xml:space="preserve">Best case (₹15)</t>
  </si>
  <si>
    <t xml:space="preserve">Realistic blended (₹25)</t>
  </si>
  <si>
    <t xml:space="preserve">Current model (₹35)</t>
  </si>
  <si>
    <t xml:space="preserve">With regen buffer (₹50)</t>
  </si>
  <si>
    <t xml:space="preserve">Worst case (₹70)</t>
  </si>
  <si>
    <t xml:space="preserve">Anthropic prices double (₹100)</t>
  </si>
  <si>
    <t xml:space="preserve">Compared to handbook claim</t>
  </si>
  <si>
    <t xml:space="preserve">Handbook v3.2 says:</t>
  </si>
  <si>
    <t xml:space="preserve">Break-even at ~10 users in month 5</t>
  </si>
  <si>
    <t xml:space="preserve">This model says:</t>
  </si>
  <si>
    <t xml:space="preserve">Risk:</t>
  </si>
  <si>
    <t xml:space="preserve">If AI cost ends up at ₹50 (with regen buffer), need ~ users</t>
  </si>
  <si>
    <t xml:space="preserve">CUSTOMER ACQUISITION COST &amp; LIFETIME VALUE</t>
  </si>
  <si>
    <t xml:space="preserve">A. Customer Acquisition Cost (CAC)</t>
  </si>
  <si>
    <t xml:space="preserve">Founder hours per acquired user</t>
  </si>
  <si>
    <t xml:space="preserve">Founder time value per hour</t>
  </si>
  <si>
    <t xml:space="preserve">Founder time CAC</t>
  </si>
  <si>
    <t xml:space="preserve">hours × rate</t>
  </si>
  <si>
    <t xml:space="preserve">Free-trial API burn per converted user</t>
  </si>
  <si>
    <t xml:space="preserve">3 credits × AI cost ÷ conversion rate</t>
  </si>
  <si>
    <t xml:space="preserve">TOTAL CAC per paid user</t>
  </si>
  <si>
    <t xml:space="preserve">founder time + trial burn</t>
  </si>
  <si>
    <t xml:space="preserve">B. Lifetime Value (LTV)</t>
  </si>
  <si>
    <t xml:space="preserve">orders/mo</t>
  </si>
  <si>
    <t xml:space="preserve">Avg user retention</t>
  </si>
  <si>
    <t xml:space="preserve">Karnataka transfer cycle</t>
  </si>
  <si>
    <t xml:space="preserve">Total orders per user lifetime</t>
  </si>
  <si>
    <t xml:space="preserve">orders × months</t>
  </si>
  <si>
    <t xml:space="preserve">Weighted by pack mix</t>
  </si>
  <si>
    <t xml:space="preserve">Avg contribution per order</t>
  </si>
  <si>
    <t xml:space="preserve">Net of variable costs</t>
  </si>
  <si>
    <t xml:space="preserve">LIFETIME VALUE per user</t>
  </si>
  <si>
    <t xml:space="preserve">orders × contribution</t>
  </si>
  <si>
    <t xml:space="preserve">C. LTV / CAC ratio</t>
  </si>
  <si>
    <t xml:space="preserve">LTV / CAC ratio</t>
  </si>
  <si>
    <t xml:space="preserve">Healthy SaaS benchmark</t>
  </si>
  <si>
    <t xml:space="preserve">&gt; 3x</t>
  </si>
  <si>
    <t xml:space="preserve">Verdict</t>
  </si>
  <si>
    <t xml:space="preserve">PRICING DECISIONS  ·  Should we change prices?</t>
  </si>
  <si>
    <t xml:space="preserve">⭐ LOCKED LAUNCH PRICING DECISION (April 27, 2026)</t>
  </si>
  <si>
    <t xml:space="preserve">Decision rationale: Launch with 3 simple tiers + 1 free order. Hide Bulk/Power until production data proves real per-order cost.</t>
  </si>
  <si>
    <t xml:space="preserve">Pack</t>
  </si>
  <si>
    <t xml:space="preserve">Orders</t>
  </si>
  <si>
    <t xml:space="preserve">Price</t>
  </si>
  <si>
    <t xml:space="preserve">Per order</t>
  </si>
  <si>
    <t xml:space="preserve">Launch?</t>
  </si>
  <si>
    <t xml:space="preserve">Trial</t>
  </si>
  <si>
    <t xml:space="preserve">✅ LAUNCH</t>
  </si>
  <si>
    <t xml:space="preserve">First order free; classic SaaS conversion driver</t>
  </si>
  <si>
    <t xml:space="preserve">Starter</t>
  </si>
  <si>
    <t xml:space="preserve">Cheapest entry; expected 40% of users</t>
  </si>
  <si>
    <t xml:space="preserve">Regular</t>
  </si>
  <si>
    <t xml:space="preserve">Best value perception; expected 40% of users</t>
  </si>
  <si>
    <t xml:space="preserve">Pro</t>
  </si>
  <si>
    <t xml:space="preserve">Heavy users; expected 20% of users</t>
  </si>
  <si>
    <t xml:space="preserve">Bulk</t>
  </si>
  <si>
    <t xml:space="preserve">⏳ HIDDEN</t>
  </si>
  <si>
    <t xml:space="preserve">Unlock after 20-30 paid orders show real cost</t>
  </si>
  <si>
    <t xml:space="preserve">Power</t>
  </si>
  <si>
    <t xml:space="preserve">Unlock after Bulk validated for 1 month</t>
  </si>
  <si>
    <t xml:space="preserve">Approved marketing language:</t>
  </si>
  <si>
    <t xml:space="preserve">"Human drafters usually cost ₹1,000–₹2,000 per order.</t>
  </si>
  <si>
    <t xml:space="preserve"> Aadesh pilot packs reduce the effective cost to ₹250–₹333 per order."</t>
  </si>
  <si>
    <t xml:space="preserve">Do NOT say: "Orders start at ₹500" — anchors at fake single-order price.</t>
  </si>
  <si>
    <t xml:space="preserve">Conditions to unlock Bulk pack (₹4,999/25):</t>
  </si>
  <si>
    <t xml:space="preserve">1. 20-30 paid orders generated and tracked in Sheet 12</t>
  </si>
  <si>
    <t xml:space="preserve">2. Real cost/order known and stable</t>
  </si>
  <si>
    <t xml:space="preserve">3. No bulk-pack abuse pattern observed</t>
  </si>
  <si>
    <t xml:space="preserve">4. Support burden manageable (&lt;5 min/order)</t>
  </si>
  <si>
    <t xml:space="preserve">Decision B: Should complex PDFs cost 2 credits?</t>
  </si>
  <si>
    <t xml:space="preserve">Reason</t>
  </si>
  <si>
    <t xml:space="preserve">Bigger PDFs use more PDF Vision tokens (linearly), so cost scales with pages</t>
  </si>
  <si>
    <t xml:space="preserve">Threshold suggestion</t>
  </si>
  <si>
    <t xml:space="preserve">PDFs over 50 pages → 2 credits</t>
  </si>
  <si>
    <t xml:space="preserve">Implementation</t>
  </si>
  <si>
    <t xml:space="preserve">Detect page count at upload; show user "this is a long case, will use 2 credits"</t>
  </si>
  <si>
    <t xml:space="preserve">Decision C: When to register GST?</t>
  </si>
  <si>
    <t xml:space="preserve">Handbook says</t>
  </si>
  <si>
    <t xml:space="preserve">Register at ₹15 lakh (proactive, not the legal ₹20 lakh)</t>
  </si>
  <si>
    <t xml:space="preserve">At Pack B avg ₹999</t>
  </si>
  <si>
    <t xml:space="preserve">₹15L / ₹999 = ~1500 packs sold = ~22,500 orders</t>
  </si>
  <si>
    <t xml:space="preserve">At what user count</t>
  </si>
  <si>
    <t xml:space="preserve">~125 users × 12 orders/mo × 12 months = 18,000 orders/year — close to threshold at year 1</t>
  </si>
  <si>
    <t xml:space="preserve">Recommendation</t>
  </si>
  <si>
    <t xml:space="preserve">Register before crossing ₹15L. Set GST flag in Inputs sheet to 1 to model post-GST P&amp;L.</t>
  </si>
  <si>
    <t xml:space="preserve">Decision D: Should office plan exist?</t>
  </si>
  <si>
    <t xml:space="preserve">One officer pays Pack D (₹4,999 / 120 orders / ₹42 per order)</t>
  </si>
  <si>
    <t xml:space="preserve">But shares login with 5 colleagues</t>
  </si>
  <si>
    <t xml:space="preserve">Effective revenue per order</t>
  </si>
  <si>
    <t xml:space="preserve">₹4,999 ÷ 120 = ₹42/order — but 5 users used those credits</t>
  </si>
  <si>
    <t xml:space="preserve">You miss out on ₹4,999 × 4 = ₹19,996 of revenue</t>
  </si>
  <si>
    <t xml:space="preserve">Solution</t>
  </si>
  <si>
    <t xml:space="preserve">Office plan: ₹15,000 / 5 users / 600 orders / ₹25 per order. Higher revenue, lower per-order cost shared.</t>
  </si>
  <si>
    <t xml:space="preserve">Decision E: Pack D is loss-making at current price (CRITICAL)</t>
  </si>
  <si>
    <t xml:space="preserve">Current Pack D price (live)</t>
  </si>
  <si>
    <t xml:space="preserve">₹4,999 / 120 orders = ₹41.66/order</t>
  </si>
  <si>
    <t xml:space="preserve">Real cost per order (model + buffer)</t>
  </si>
  <si>
    <t xml:space="preserve">Margin at current price</t>
  </si>
  <si>
    <t xml:space="preserve">LOSS of ~₹68/order = ~₹8,160 lost per Pack D sold</t>
  </si>
  <si>
    <t xml:space="preserve">My recommendation: Re-price Pack D to ₹7,999 / 100 orders</t>
  </si>
  <si>
    <t xml:space="preserve">Per-order: ₹80, margin: +30% (profitable)</t>
  </si>
  <si>
    <t xml:space="preserve">Conservative alternative: ₹9,999 / 100 orders</t>
  </si>
  <si>
    <t xml:space="preserve">Per-order: ₹100, margin: +44%</t>
  </si>
  <si>
    <t xml:space="preserve">ChatGPT recommendation: Pause Pack D entirely</t>
  </si>
  <si>
    <t xml:space="preserve">Until production cost data confirms &lt;₹25/order</t>
  </si>
  <si>
    <t xml:space="preserve">My counter: heavy users are best customers</t>
  </si>
  <si>
    <t xml:space="preserve">Don't kill the segment; raise the price to make it profitable</t>
  </si>
  <si>
    <t xml:space="preserve">🚨 CRITICAL FINDINGS  ·  Issues uncovered while building this model</t>
  </si>
  <si>
    <t xml:space="preserve">#</t>
  </si>
  <si>
    <t xml:space="preserve">Issue</t>
  </si>
  <si>
    <t xml:space="preserve">Severity</t>
  </si>
  <si>
    <t xml:space="preserve">Action required</t>
  </si>
  <si>
    <t xml:space="preserve">⭐</t>
  </si>
  <si>
    <t xml:space="preserve">LAUNCH PRICING LOCKED (April 27, 2026)
Trial: 1 free order. Starter: 3/₹999. Regular: 5/₹1,499. Pro: 10/₹2,499.
Bulk and Power packs HIDDEN until 20-30 paid orders prove real cost.
Marketing: "Human drafters cost ₹1,000-2,000/order; Aadesh ₹250-333/order."</t>
  </si>
  <si>
    <t xml:space="preserve">RESOLVED</t>
  </si>
  <si>
    <t xml:space="preserve">Razorpay store needs update: pause Pack A/B/C/D, add Starter/Regular/Pro, hide Bulk/Power. Generate Claude Code prompt.</t>
  </si>
  <si>
    <t xml:space="preserve">Handbook v3.2 pricing does NOT match live Razorpay prices.
Handbook shows: Pack A ₹999/7, B ₹1999/18, C ₹3499/32, D ₹5999/55.
Razorpay live: Pack A ₹499/5, B ₹999/15, C ₹1999/40, D ₹4999/120.
Razorpay version is what users actually see and pay.</t>
  </si>
  <si>
    <t xml:space="preserve">CRITICAL</t>
  </si>
  <si>
    <t xml:space="preserve">Decide which is correct, fix the other. Update handbook BEFORE RAI submission.</t>
  </si>
  <si>
    <t xml:space="preserve">Real per-order cost from $50 testing spend = ~$0.81/order (~₹64) — much higher than ₹24 model claim.
$23.45 spent ÷ 29 test orders = $0.81/order.
Production should be cheaper (cache hits, no thinking mode), but testing data shows we burn fast on iteration.</t>
  </si>
  <si>
    <t xml:space="preserve">HIGH</t>
  </si>
  <si>
    <t xml:space="preserve">Track production per-order cost daily. If real &gt;₹40, raise pricing or change model.</t>
  </si>
  <si>
    <t xml:space="preserve">Free trial of 3 credits at 30% conversion = ~₹350 CAC from API burn alone.
Plus ~₹2,000 founder time CAC (4 hours × ₹500/hour).
Real CAC ≈ ₹2,350/user — needs verification.</t>
  </si>
  <si>
    <t xml:space="preserve">Either reduce free credits to 2, or raise conversion rate via better demo, or accept the CAC.</t>
  </si>
  <si>
    <t xml:space="preserve">Karnataka officer transfers happen every 1-2 years.
Assumed retention of 9 months. This is a hard ceiling on LTV.
When officer transfers → Aadesh setup is wiped.</t>
  </si>
  <si>
    <t xml:space="preserve">MEDIUM</t>
  </si>
  <si>
    <t xml:space="preserve">Build Transfer Mode well — make it easy to start fresh at new posting.</t>
  </si>
  <si>
    <t xml:space="preserve">GST registration at ₹15L revenue threshold reduces effective revenue by ~15% (₹999 → ₹847).
Doc shows margins pre-GST. Post-GST margins drop materially.</t>
  </si>
  <si>
    <t xml:space="preserve">Plan for GST timing. Set GST flag in this model to 1 to see post-GST scenarios.</t>
  </si>
  <si>
    <t xml:space="preserve">Anthropic API price is set in USD. ₹/USD volatility directly affects per-order cost.
A 10% INR depreciation = 10% direct AI cost increase, no warning.</t>
  </si>
  <si>
    <t xml:space="preserve">Hedge by holding 3-month USD budget; or pass through via per-pack pricing.</t>
  </si>
  <si>
    <t xml:space="preserve">Single AI vendor dependency (Anthropic). If they raise prices 50%, current margins compress to dangerous levels.
Sarvam fallback is 91/100 quality vs 96/100 — usable but not equivalent.</t>
  </si>
  <si>
    <t xml:space="preserve">Keep Sarvam path warm. Test quality regularly. Have a "switch in 24 hours" plan.</t>
  </si>
  <si>
    <t xml:space="preserve">Founder time is unmodeled in current handbook P&amp;L.
40 hours/week × ₹500 notional = ₹80,000/month opportunity cost. Year 1 net is ₹1.4 lakh "profit" — but that ignores founder labor.
True economic profit is negative until ~50 paying users.</t>
  </si>
  <si>
    <t xml:space="preserve">Decide when founder starts drawing salary. Plan for that month in cashflow.</t>
  </si>
  <si>
    <t xml:space="preserve">Handbook says "0 paying users today" and "break-even at 10 users month 5".
But this assumes month 1 gets to 1 user, month 2 → 2, month 3 → 4, etc.
At zero acquisition channels live (no ads, only word of mouth), this growth is optimistic.</t>
  </si>
  <si>
    <t xml:space="preserve">Validate growth assumption with first 3 paying users in 3 months. If misses, adjust.</t>
  </si>
  <si>
    <t xml:space="preserve">No model fallback strategy is costed.
If Sonnet fails, switch to Sarvam = ₹0 AI cost but 91/100 quality.
Could be PROFIT BOOSTER if some orders work fine on Sarvam. Not modeled.</t>
  </si>
  <si>
    <t xml:space="preserve">OPPORTUNITY</t>
  </si>
  <si>
    <t xml:space="preserve">Test Sarvam quality on simple cases. Auto-route simple → Sarvam, complex → Sonnet. Could lift margins 10-20%.</t>
  </si>
  <si>
    <t xml:space="preserve">Office plan is missing from pricing sheet.
A single Pack D (₹4,999) shared by 5 colleagues = revenue loss of ₹20K.
Office plan at ₹15,000/5 users would capture this.</t>
  </si>
  <si>
    <t xml:space="preserve">Design Office Plan v1 for Phase 2. Capture team purchases.</t>
  </si>
  <si>
    <t xml:space="preserve">Quality benchmark says 89.2% live, 98% best lab.
But we have not measured officer acceptance rate (signs without rewriting).
AI quality and signature acceptance are different metrics.</t>
  </si>
  <si>
    <t xml:space="preserve">CRITICAL DATA GAP</t>
  </si>
  <si>
    <t xml:space="preserve">After Banu signs first 3 real orders, measure edit distance from AI draft to final signed version.</t>
  </si>
  <si>
    <t xml:space="preserve">Handbook v3.2 has wrong pricing for RAI submission.
ChatGPT recommendation: REMOVE the detailed pack table from the handbook entirely.
Replace with neutral wording: "Aadesh AI uses prepaid credit packs. Pricing being validated during pilot."</t>
  </si>
  <si>
    <t xml:space="preserve">Update handbook v3.2 → v3.3 with neutral pricing wording before RAI submission.</t>
  </si>
  <si>
    <t xml:space="preserve">R&amp;D test cost (₹82/order from $23.45 ÷ 29 tests) is NOT production cost.
Testing includes thinking-mode accident, prompt experiments, retries.
Production cost will be lower with proper caching + no thinking mode + production discipline.</t>
  </si>
  <si>
    <t xml:space="preserve">Track production cost separately in Sheet 12 (Live Cost Tracker). Do not use ₹82 as production estimate.</t>
  </si>
  <si>
    <t xml:space="preserve">GST threshold ₹15L is policy guidance, NOT legal certainty.
GST registration timing depends on service type, state, interstate supply, payment platform.</t>
  </si>
  <si>
    <t xml:space="preserve">Verify with Karnataka-registered Chartered Accountant before final pricing decisions.</t>
  </si>
  <si>
    <t xml:space="preserve">Pack D at ₹4,999/120 orders = ₹41.66/order is loss-making at any reasonable AI cost.
Model says: contribution is −₹68/order = ~₹8,160 lost per Pack D sold.
ChatGPT says: pause it. I say: re-price to ₹7,999/100 orders (₹80/order = +30% margin).</t>
  </si>
  <si>
    <t xml:space="preserve">Re-price Pack D BEFORE next user signs up. See Sheet 10 Decision E for options.</t>
  </si>
  <si>
    <t xml:space="preserve">LIVE COST TRACKER  ·  Populate with real production orders</t>
  </si>
  <si>
    <t xml:space="preserve">ChatGPT correction: production cost MUST be tracked separately from R&amp;D testing cost. Add one row per real order.</t>
  </si>
  <si>
    <t xml:space="preserve">Date</t>
  </si>
  <si>
    <t xml:space="preserve">Order ID</t>
  </si>
  <si>
    <t xml:space="preserve">User</t>
  </si>
  <si>
    <t xml:space="preserve">Model</t>
  </si>
  <si>
    <t xml:space="preserve">Cache read</t>
  </si>
  <si>
    <t xml:space="preserve">Cache write</t>
  </si>
  <si>
    <t xml:space="preserve">API cost (USD)</t>
  </si>
  <si>
    <t xml:space="preserve">API cost (₹)</t>
  </si>
  <si>
    <t xml:space="preserve">Pack price/order</t>
  </si>
  <si>
    <t xml:space="preserve">Margin (₹)</t>
  </si>
  <si>
    <t xml:space="preserve">SUMMARY</t>
  </si>
  <si>
    <t xml:space="preserve">Number of orders tracked</t>
  </si>
  <si>
    <t xml:space="preserve">Total API cost (₹)</t>
  </si>
  <si>
    <t xml:space="preserve">Average cost per order (₹)</t>
  </si>
  <si>
    <t xml:space="preserve">Total margin captured (₹)</t>
  </si>
  <si>
    <t xml:space="preserve">⚠ Update Sheet 2 row "Production cost per order (live measured)" with B30 once 10+ orders tracked</t>
  </si>
  <si>
    <t xml:space="preserve">OFFICE PLAN ECONOMICS  ·  Capture team purchases</t>
  </si>
  <si>
    <t xml:space="preserve">Captures the shared-login leak. Office plans are your scale path beyond individual subscriptions.</t>
  </si>
  <si>
    <t xml:space="preserve">Pack D (1 user)</t>
  </si>
  <si>
    <t xml:space="preserve">Office Pilot</t>
  </si>
  <si>
    <t xml:space="preserve">Office Standard</t>
  </si>
  <si>
    <t xml:space="preserve">Office District</t>
  </si>
  <si>
    <t xml:space="preserve">Monthly price</t>
  </si>
  <si>
    <t xml:space="preserve">Pack D is one-time pack; offices are monthly</t>
  </si>
  <si>
    <t xml:space="preserve">Users covered</t>
  </si>
  <si>
    <t xml:space="preserve">Orders pool</t>
  </si>
  <si>
    <t xml:space="preserve">Effective price per order</t>
  </si>
  <si>
    <t xml:space="preserve">Razorpay/payment fee</t>
  </si>
  <si>
    <t xml:space="preserve">SHARED-LOGIN LEAKAGE COMPARISON</t>
  </si>
  <si>
    <t xml:space="preserve">Scenario A: 5 colleagues share one Pack D</t>
  </si>
  <si>
    <t xml:space="preserve">Revenue captured</t>
  </si>
  <si>
    <t xml:space="preserve">₹4,999 once</t>
  </si>
  <si>
    <t xml:space="preserve">Scenario B: Office Pilot covers same 5 colleagues</t>
  </si>
  <si>
    <t xml:space="preserve">Revenue captured (per month)</t>
  </si>
  <si>
    <t xml:space="preserve">₹2,999/mo recurring → ₹35,988/year</t>
  </si>
  <si>
    <t xml:space="preserve">12-month delta (Office vs Pack D)</t>
  </si>
  <si>
    <t xml:space="preserve">Revenue capture from same office</t>
  </si>
  <si>
    <t xml:space="preserve">RECOMMENDATION</t>
  </si>
  <si>
    <t xml:space="preserve">Launch Office Pilot plan when 3+ users from the same office sign up.</t>
  </si>
  <si>
    <t xml:space="preserve">Office plans capture team purchases that individual packs cannot.</t>
  </si>
  <si>
    <t xml:space="preserve">Pricing here is illustrative — validate with first office customer before publishing.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</si>
</sst>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\₹#,##0.00;&quot;(₹&quot;#,##0.00\);\-"/>
    <numFmt numFmtId="167" formatCode="0.0%;\(0.0%\);\-"/>
    <numFmt numFmtId="168" formatCode="#,##0"/>
    <numFmt numFmtId="169" formatCode="\₹#,##0;&quot;(₹&quot;#,##0\);\-"/>
    <numFmt numFmtId="170" formatCode="0.0"/>
    <numFmt numFmtId="171" formatCode="\$#,##0.000"/>
    <numFmt numFmtId="172" formatCode="0.00\x"/>
    <numFmt numFmtId="173" formatCode="0.0\x"/>
    <numFmt numFmtId="174" formatCode="\₹#,##0;&quot;(₹&quot;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i val="true"/>
      <sz val="11"/>
      <color rgb="FF61616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16161"/>
      <name val="Arial"/>
      <family val="0"/>
      <charset val="1"/>
    </font>
    <font>
      <i val="true"/>
      <sz val="10"/>
      <color rgb="FFF57C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57C00"/>
      <name val="Arial"/>
      <family val="0"/>
      <charset val="1"/>
    </font>
    <font>
      <i val="true"/>
      <sz val="11"/>
      <color rgb="FF9E9E9E"/>
      <name val="Arial"/>
      <family val="0"/>
      <charset val="1"/>
    </font>
    <font>
      <sz val="11"/>
      <color rgb="FF9E9E9E"/>
      <name val="Arial"/>
      <family val="0"/>
      <charset val="1"/>
    </font>
    <font>
      <i val="true"/>
      <sz val="10"/>
      <color rgb="FF9E9E9E"/>
      <name val="Arial"/>
      <family val="0"/>
      <charset val="1"/>
    </font>
    <font>
      <i val="true"/>
      <sz val="11"/>
      <color rgb="FF1565C0"/>
      <name val="Arial"/>
      <family val="0"/>
      <charset val="1"/>
    </font>
    <font>
      <i val="true"/>
      <sz val="11"/>
      <color rgb="FFC6282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E082"/>
        <bgColor rgb="FFFFEBEE"/>
      </patternFill>
    </fill>
    <fill>
      <patternFill patternType="solid">
        <fgColor rgb="FFFFEBEE"/>
        <bgColor rgb="FFF3E5F5"/>
      </patternFill>
    </fill>
    <fill>
      <patternFill patternType="solid">
        <fgColor rgb="FFC57828"/>
        <bgColor rgb="FFF57C00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993366"/>
      </patternFill>
    </fill>
    <fill>
      <patternFill patternType="solid">
        <fgColor rgb="FFF57C00"/>
        <bgColor rgb="FFFF9900"/>
      </patternFill>
    </fill>
    <fill>
      <patternFill patternType="solid">
        <fgColor rgb="FFF3E5F5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57828"/>
      <rgbColor rgb="FF800080"/>
      <rgbColor rgb="FF008080"/>
      <rgbColor rgb="FFC0C0C0"/>
      <rgbColor rgb="FF808080"/>
      <rgbColor rgb="FF9999FF"/>
      <rgbColor rgb="FF993366"/>
      <rgbColor rgb="FFE8F5E9"/>
      <rgbColor rgb="FFE3F2FD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F9900"/>
      <rgbColor rgb="FFF57C00"/>
      <rgbColor rgb="FF616161"/>
      <rgbColor rgb="FF9E9E9E"/>
      <rgbColor rgb="FF003366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/>
      <c r="B3" s="4"/>
      <c r="C3" s="4"/>
      <c r="D3" s="4"/>
    </row>
    <row r="4" customFormat="false" ht="39" hidden="false" customHeight="true" outlineLevel="0" collapsed="false">
      <c r="A4" s="3" t="s">
        <v>1</v>
      </c>
      <c r="B4" s="4" t="s">
        <v>2</v>
      </c>
      <c r="C4" s="4"/>
      <c r="D4" s="4"/>
    </row>
    <row r="5" customFormat="false" ht="51.75" hidden="false" customHeight="true" outlineLevel="0" collapsed="false">
      <c r="A5" s="3" t="s">
        <v>3</v>
      </c>
      <c r="B5" s="4" t="s">
        <v>4</v>
      </c>
      <c r="C5" s="4"/>
      <c r="D5" s="4"/>
    </row>
    <row r="6" customFormat="false" ht="15" hidden="false" customHeight="true" outlineLevel="0" collapsed="false">
      <c r="A6" s="3" t="s">
        <v>5</v>
      </c>
      <c r="B6" s="4" t="s">
        <v>6</v>
      </c>
      <c r="C6" s="4"/>
      <c r="D6" s="4"/>
    </row>
    <row r="7" customFormat="false" ht="15" hidden="false" customHeight="true" outlineLevel="0" collapsed="false">
      <c r="A7" s="3"/>
      <c r="B7" s="4"/>
      <c r="C7" s="4"/>
      <c r="D7" s="4"/>
    </row>
    <row r="8" customFormat="false" ht="26.25" hidden="false" customHeight="true" outlineLevel="0" collapsed="false">
      <c r="A8" s="3" t="s">
        <v>7</v>
      </c>
      <c r="B8" s="4"/>
      <c r="C8" s="4"/>
      <c r="D8" s="4"/>
    </row>
    <row r="9" customFormat="false" ht="15" hidden="false" customHeight="true" outlineLevel="0" collapsed="false">
      <c r="A9" s="3"/>
      <c r="B9" s="5" t="s">
        <v>8</v>
      </c>
      <c r="C9" s="4" t="s">
        <v>9</v>
      </c>
      <c r="D9" s="4"/>
    </row>
    <row r="10" customFormat="false" ht="15" hidden="false" customHeight="true" outlineLevel="0" collapsed="false">
      <c r="A10" s="3"/>
      <c r="B10" s="3" t="s">
        <v>10</v>
      </c>
      <c r="C10" s="4" t="s">
        <v>11</v>
      </c>
      <c r="D10" s="4"/>
    </row>
    <row r="11" customFormat="false" ht="15" hidden="false" customHeight="true" outlineLevel="0" collapsed="false">
      <c r="A11" s="3"/>
      <c r="B11" s="6" t="s">
        <v>12</v>
      </c>
      <c r="C11" s="4" t="s">
        <v>13</v>
      </c>
      <c r="D11" s="4"/>
    </row>
    <row r="12" customFormat="false" ht="15" hidden="false" customHeight="true" outlineLevel="0" collapsed="false">
      <c r="A12" s="3"/>
      <c r="B12" s="7" t="s">
        <v>14</v>
      </c>
      <c r="C12" s="4" t="s">
        <v>15</v>
      </c>
      <c r="D12" s="4"/>
    </row>
    <row r="13" customFormat="false" ht="15" hidden="false" customHeight="true" outlineLevel="0" collapsed="false">
      <c r="A13" s="3"/>
      <c r="B13" s="8" t="s">
        <v>16</v>
      </c>
      <c r="C13" s="4" t="s">
        <v>17</v>
      </c>
      <c r="D13" s="4"/>
    </row>
    <row r="14" customFormat="false" ht="15" hidden="false" customHeight="true" outlineLevel="0" collapsed="false">
      <c r="A14" s="3"/>
      <c r="B14" s="4"/>
      <c r="C14" s="4"/>
      <c r="D14" s="4"/>
    </row>
    <row r="15" customFormat="false" ht="39" hidden="false" customHeight="true" outlineLevel="0" collapsed="false">
      <c r="A15" s="3" t="s">
        <v>18</v>
      </c>
      <c r="B15" s="4"/>
      <c r="C15" s="4"/>
      <c r="D15" s="4"/>
    </row>
    <row r="16" customFormat="false" ht="15" hidden="false" customHeight="true" outlineLevel="0" collapsed="false">
      <c r="A16" s="3" t="s">
        <v>19</v>
      </c>
      <c r="B16" s="4" t="s">
        <v>20</v>
      </c>
      <c r="C16" s="4" t="s">
        <v>21</v>
      </c>
      <c r="D16" s="4"/>
    </row>
    <row r="17" customFormat="false" ht="15" hidden="false" customHeight="true" outlineLevel="0" collapsed="false">
      <c r="A17" s="3" t="s">
        <v>22</v>
      </c>
      <c r="B17" s="4" t="s">
        <v>23</v>
      </c>
      <c r="C17" s="4" t="s">
        <v>24</v>
      </c>
      <c r="D17" s="4"/>
    </row>
    <row r="18" customFormat="false" ht="15" hidden="false" customHeight="true" outlineLevel="0" collapsed="false">
      <c r="A18" s="3" t="s">
        <v>25</v>
      </c>
      <c r="B18" s="4" t="s">
        <v>26</v>
      </c>
      <c r="C18" s="4" t="s">
        <v>27</v>
      </c>
      <c r="D18" s="4"/>
    </row>
    <row r="19" customFormat="false" ht="15" hidden="false" customHeight="true" outlineLevel="0" collapsed="false">
      <c r="A19" s="3" t="s">
        <v>28</v>
      </c>
      <c r="B19" s="4" t="s">
        <v>29</v>
      </c>
      <c r="C19" s="4" t="s">
        <v>30</v>
      </c>
      <c r="D19" s="4"/>
    </row>
    <row r="20" customFormat="false" ht="15" hidden="false" customHeight="true" outlineLevel="0" collapsed="false">
      <c r="A20" s="3" t="s">
        <v>31</v>
      </c>
      <c r="B20" s="4" t="s">
        <v>32</v>
      </c>
      <c r="C20" s="4" t="s">
        <v>33</v>
      </c>
      <c r="D20" s="4"/>
    </row>
    <row r="21" customFormat="false" ht="15" hidden="false" customHeight="true" outlineLevel="0" collapsed="false">
      <c r="A21" s="3" t="s">
        <v>34</v>
      </c>
      <c r="B21" s="4" t="s">
        <v>35</v>
      </c>
      <c r="C21" s="4" t="s">
        <v>36</v>
      </c>
      <c r="D21" s="4"/>
    </row>
    <row r="22" customFormat="false" ht="15" hidden="false" customHeight="true" outlineLevel="0" collapsed="false">
      <c r="A22" s="3" t="s">
        <v>37</v>
      </c>
      <c r="B22" s="4" t="s">
        <v>38</v>
      </c>
      <c r="C22" s="4" t="s">
        <v>39</v>
      </c>
      <c r="D22" s="4"/>
    </row>
    <row r="23" customFormat="false" ht="15" hidden="false" customHeight="true" outlineLevel="0" collapsed="false">
      <c r="A23" s="3" t="s">
        <v>40</v>
      </c>
      <c r="B23" s="4" t="s">
        <v>41</v>
      </c>
      <c r="C23" s="4" t="s">
        <v>42</v>
      </c>
      <c r="D23" s="4"/>
    </row>
    <row r="24" customFormat="false" ht="15" hidden="false" customHeight="true" outlineLevel="0" collapsed="false">
      <c r="A24" s="3" t="s">
        <v>43</v>
      </c>
      <c r="B24" s="4" t="s">
        <v>44</v>
      </c>
      <c r="C24" s="4" t="s">
        <v>45</v>
      </c>
      <c r="D24" s="4"/>
    </row>
    <row r="25" customFormat="false" ht="15" hidden="false" customHeight="true" outlineLevel="0" collapsed="false">
      <c r="A25" s="3" t="s">
        <v>46</v>
      </c>
      <c r="B25" s="4" t="s">
        <v>47</v>
      </c>
      <c r="C25" s="4" t="s">
        <v>48</v>
      </c>
      <c r="D25" s="4"/>
    </row>
    <row r="26" customFormat="false" ht="15" hidden="false" customHeight="true" outlineLevel="0" collapsed="false">
      <c r="A26" s="9" t="s">
        <v>49</v>
      </c>
      <c r="B26" s="10" t="s">
        <v>50</v>
      </c>
      <c r="C26" s="10" t="s">
        <v>51</v>
      </c>
    </row>
    <row r="27" customFormat="false" ht="15" hidden="false" customHeight="true" outlineLevel="0" collapsed="false">
      <c r="A27" s="9" t="s">
        <v>52</v>
      </c>
      <c r="B27" s="10" t="s">
        <v>53</v>
      </c>
      <c r="C27" s="10" t="s">
        <v>54</v>
      </c>
    </row>
    <row r="28" customFormat="false" ht="15" hidden="false" customHeight="true" outlineLevel="0" collapsed="false">
      <c r="A28" s="3"/>
      <c r="B28" s="4"/>
      <c r="C28" s="4"/>
      <c r="D28" s="4"/>
    </row>
    <row r="29" customFormat="false" ht="26.25" hidden="false" customHeight="true" outlineLevel="0" collapsed="false">
      <c r="A29" s="3" t="s">
        <v>55</v>
      </c>
      <c r="B29" s="4"/>
      <c r="C29" s="4"/>
      <c r="D29" s="4"/>
    </row>
    <row r="30" customFormat="false" ht="26.25" hidden="false" customHeight="true" outlineLevel="0" collapsed="false">
      <c r="A30" s="3" t="s">
        <v>56</v>
      </c>
      <c r="B30" s="4" t="s">
        <v>57</v>
      </c>
      <c r="C30" s="4" t="s">
        <v>58</v>
      </c>
      <c r="D30" s="4"/>
    </row>
    <row r="31" customFormat="false" ht="26.25" hidden="false" customHeight="true" outlineLevel="0" collapsed="false">
      <c r="A31" s="3" t="s">
        <v>59</v>
      </c>
      <c r="B31" s="4" t="s">
        <v>60</v>
      </c>
      <c r="C31" s="4"/>
      <c r="D31" s="4"/>
    </row>
    <row r="32" customFormat="false" ht="26.25" hidden="false" customHeight="true" outlineLevel="0" collapsed="false">
      <c r="A32" s="3" t="s">
        <v>61</v>
      </c>
      <c r="B32" s="4" t="s">
        <v>62</v>
      </c>
      <c r="C32" s="4"/>
      <c r="D32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50"/>
  </cols>
  <sheetData>
    <row r="1" customFormat="false" ht="27.75" hidden="false" customHeight="true" outlineLevel="0" collapsed="false">
      <c r="A1" s="2" t="s">
        <v>63</v>
      </c>
      <c r="B1" s="2"/>
      <c r="C1" s="2"/>
      <c r="D1" s="2"/>
    </row>
    <row r="2" customFormat="false" ht="15" hidden="false" customHeight="true" outlineLevel="0" collapsed="false">
      <c r="A2" s="11" t="s">
        <v>64</v>
      </c>
      <c r="B2" s="11"/>
      <c r="C2" s="11"/>
      <c r="D2" s="11"/>
    </row>
    <row r="4" customFormat="false" ht="26.25" hidden="false" customHeight="true" outlineLevel="0" collapsed="false">
      <c r="A4" s="12" t="s">
        <v>65</v>
      </c>
      <c r="B4" s="12"/>
      <c r="C4" s="12"/>
      <c r="D4" s="12"/>
    </row>
    <row r="5" customFormat="false" ht="15" hidden="false" customHeight="true" outlineLevel="0" collapsed="false">
      <c r="A5" s="4" t="s">
        <v>66</v>
      </c>
      <c r="B5" s="13" t="s">
        <v>67</v>
      </c>
      <c r="C5" s="14" t="n">
        <v>3</v>
      </c>
      <c r="D5" s="15" t="s">
        <v>68</v>
      </c>
    </row>
    <row r="6" customFormat="false" ht="15" hidden="false" customHeight="true" outlineLevel="0" collapsed="false">
      <c r="A6" s="4" t="s">
        <v>69</v>
      </c>
      <c r="B6" s="13" t="s">
        <v>67</v>
      </c>
      <c r="C6" s="14" t="n">
        <v>15</v>
      </c>
      <c r="D6" s="15" t="s">
        <v>68</v>
      </c>
    </row>
    <row r="7" customFormat="false" ht="15" hidden="false" customHeight="true" outlineLevel="0" collapsed="false">
      <c r="A7" s="4" t="s">
        <v>70</v>
      </c>
      <c r="B7" s="13" t="s">
        <v>67</v>
      </c>
      <c r="C7" s="14" t="n">
        <v>3.75</v>
      </c>
      <c r="D7" s="15" t="s">
        <v>71</v>
      </c>
    </row>
    <row r="8" customFormat="false" ht="15" hidden="false" customHeight="true" outlineLevel="0" collapsed="false">
      <c r="A8" s="4" t="s">
        <v>72</v>
      </c>
      <c r="B8" s="13" t="s">
        <v>67</v>
      </c>
      <c r="C8" s="14" t="n">
        <v>0.3</v>
      </c>
      <c r="D8" s="15" t="s">
        <v>73</v>
      </c>
    </row>
    <row r="9" customFormat="false" ht="15" hidden="false" customHeight="true" outlineLevel="0" collapsed="false">
      <c r="A9" s="4" t="s">
        <v>74</v>
      </c>
      <c r="B9" s="13" t="s">
        <v>75</v>
      </c>
      <c r="C9" s="16" t="n">
        <v>84</v>
      </c>
      <c r="D9" s="15" t="s">
        <v>76</v>
      </c>
    </row>
    <row r="10" customFormat="false" ht="15" hidden="false" customHeight="true" outlineLevel="0" collapsed="false">
      <c r="A10" s="4" t="s">
        <v>77</v>
      </c>
      <c r="B10" s="13" t="s">
        <v>78</v>
      </c>
      <c r="C10" s="17" t="n">
        <v>0.21</v>
      </c>
      <c r="D10" s="15" t="s">
        <v>79</v>
      </c>
    </row>
    <row r="11" customFormat="false" ht="15" hidden="false" customHeight="true" outlineLevel="0" collapsed="false">
      <c r="A11" s="4"/>
      <c r="B11" s="13"/>
      <c r="C11" s="18"/>
      <c r="D11" s="15"/>
    </row>
    <row r="12" customFormat="false" ht="15" hidden="false" customHeight="true" outlineLevel="0" collapsed="false">
      <c r="A12" s="12" t="s">
        <v>80</v>
      </c>
      <c r="B12" s="12"/>
      <c r="C12" s="12"/>
      <c r="D12" s="12"/>
    </row>
    <row r="13" customFormat="false" ht="15" hidden="false" customHeight="true" outlineLevel="0" collapsed="false">
      <c r="A13" s="4" t="s">
        <v>81</v>
      </c>
      <c r="B13" s="13" t="s">
        <v>82</v>
      </c>
      <c r="C13" s="18" t="n">
        <v>35000</v>
      </c>
      <c r="D13" s="15" t="s">
        <v>83</v>
      </c>
    </row>
    <row r="14" customFormat="false" ht="15" hidden="false" customHeight="true" outlineLevel="0" collapsed="false">
      <c r="A14" s="4" t="s">
        <v>84</v>
      </c>
      <c r="B14" s="13" t="s">
        <v>82</v>
      </c>
      <c r="C14" s="18" t="n">
        <v>700</v>
      </c>
      <c r="D14" s="15"/>
    </row>
    <row r="15" customFormat="false" ht="15" hidden="false" customHeight="true" outlineLevel="0" collapsed="false">
      <c r="A15" s="4" t="s">
        <v>85</v>
      </c>
      <c r="B15" s="13" t="s">
        <v>82</v>
      </c>
      <c r="C15" s="18" t="n">
        <v>2000</v>
      </c>
      <c r="D15" s="15" t="s">
        <v>86</v>
      </c>
    </row>
    <row r="16" customFormat="false" ht="15" hidden="false" customHeight="true" outlineLevel="0" collapsed="false">
      <c r="A16" s="4" t="s">
        <v>87</v>
      </c>
      <c r="B16" s="13" t="s">
        <v>82</v>
      </c>
      <c r="C16" s="18" t="n">
        <v>50000</v>
      </c>
      <c r="D16" s="15" t="s">
        <v>88</v>
      </c>
    </row>
    <row r="17" customFormat="false" ht="26.25" hidden="false" customHeight="true" outlineLevel="0" collapsed="false">
      <c r="A17" s="4" t="s">
        <v>89</v>
      </c>
      <c r="B17" s="13" t="s">
        <v>82</v>
      </c>
      <c r="C17" s="18" t="n">
        <v>18000</v>
      </c>
      <c r="D17" s="15" t="s">
        <v>90</v>
      </c>
    </row>
    <row r="18" customFormat="false" ht="15" hidden="false" customHeight="true" outlineLevel="0" collapsed="false">
      <c r="A18" s="4" t="s">
        <v>91</v>
      </c>
      <c r="B18" s="13" t="s">
        <v>82</v>
      </c>
      <c r="C18" s="18" t="n">
        <v>8000</v>
      </c>
      <c r="D18" s="15" t="s">
        <v>92</v>
      </c>
    </row>
    <row r="19" customFormat="false" ht="15" hidden="false" customHeight="true" outlineLevel="0" collapsed="false">
      <c r="A19" s="4" t="s">
        <v>93</v>
      </c>
      <c r="B19" s="13" t="s">
        <v>82</v>
      </c>
      <c r="C19" s="18" t="n">
        <v>9000</v>
      </c>
      <c r="D19" s="15"/>
    </row>
    <row r="20" customFormat="false" ht="15" hidden="false" customHeight="true" outlineLevel="0" collapsed="false">
      <c r="A20" s="4" t="s">
        <v>94</v>
      </c>
      <c r="B20" s="13" t="s">
        <v>82</v>
      </c>
      <c r="C20" s="18" t="n">
        <v>1000</v>
      </c>
      <c r="D20" s="15"/>
    </row>
    <row r="21" customFormat="false" ht="15" hidden="false" customHeight="true" outlineLevel="0" collapsed="false">
      <c r="A21" s="4"/>
      <c r="B21" s="13"/>
      <c r="C21" s="18"/>
      <c r="D21" s="15"/>
    </row>
    <row r="22" customFormat="false" ht="15" hidden="false" customHeight="true" outlineLevel="0" collapsed="false">
      <c r="A22" s="12" t="s">
        <v>95</v>
      </c>
      <c r="B22" s="12"/>
      <c r="C22" s="12"/>
      <c r="D22" s="12"/>
    </row>
    <row r="23" customFormat="false" ht="15" hidden="false" customHeight="true" outlineLevel="0" collapsed="false">
      <c r="A23" s="19" t="s">
        <v>96</v>
      </c>
      <c r="B23" s="20" t="s">
        <v>78</v>
      </c>
      <c r="C23" s="21" t="n">
        <v>0.5</v>
      </c>
      <c r="D23" s="22" t="s">
        <v>97</v>
      </c>
    </row>
    <row r="24" customFormat="false" ht="15" hidden="false" customHeight="true" outlineLevel="0" collapsed="false">
      <c r="A24" s="19" t="s">
        <v>98</v>
      </c>
      <c r="B24" s="20" t="s">
        <v>78</v>
      </c>
      <c r="C24" s="21" t="n">
        <v>0.25</v>
      </c>
      <c r="D24" s="22" t="s">
        <v>99</v>
      </c>
    </row>
    <row r="25" customFormat="false" ht="26.25" hidden="false" customHeight="true" outlineLevel="0" collapsed="false">
      <c r="A25" s="19" t="s">
        <v>100</v>
      </c>
      <c r="B25" s="20" t="s">
        <v>78</v>
      </c>
      <c r="C25" s="21" t="n">
        <v>0.05</v>
      </c>
      <c r="D25" s="22" t="s">
        <v>101</v>
      </c>
    </row>
    <row r="26" customFormat="false" ht="15" hidden="false" customHeight="true" outlineLevel="0" collapsed="false">
      <c r="A26" s="4"/>
      <c r="B26" s="13"/>
      <c r="C26" s="18"/>
      <c r="D26" s="15"/>
    </row>
    <row r="27" customFormat="false" ht="15" hidden="false" customHeight="true" outlineLevel="0" collapsed="false">
      <c r="A27" s="12" t="s">
        <v>102</v>
      </c>
      <c r="B27" s="12"/>
      <c r="C27" s="12"/>
      <c r="D27" s="12"/>
    </row>
    <row r="28" customFormat="false" ht="15" hidden="false" customHeight="true" outlineLevel="0" collapsed="false">
      <c r="A28" s="4" t="s">
        <v>103</v>
      </c>
      <c r="B28" s="13" t="s">
        <v>104</v>
      </c>
      <c r="C28" s="16" t="n">
        <v>1250</v>
      </c>
      <c r="D28" s="15" t="s">
        <v>105</v>
      </c>
    </row>
    <row r="29" customFormat="false" ht="15" hidden="false" customHeight="true" outlineLevel="0" collapsed="false">
      <c r="A29" s="4" t="s">
        <v>106</v>
      </c>
      <c r="B29" s="13" t="s">
        <v>104</v>
      </c>
      <c r="C29" s="16" t="n">
        <v>0</v>
      </c>
      <c r="D29" s="15" t="s">
        <v>107</v>
      </c>
    </row>
    <row r="30" customFormat="false" ht="15" hidden="false" customHeight="true" outlineLevel="0" collapsed="false">
      <c r="A30" s="4" t="s">
        <v>108</v>
      </c>
      <c r="B30" s="13" t="s">
        <v>104</v>
      </c>
      <c r="C30" s="16" t="n">
        <v>100</v>
      </c>
      <c r="D30" s="15" t="s">
        <v>109</v>
      </c>
    </row>
    <row r="31" customFormat="false" ht="15" hidden="false" customHeight="true" outlineLevel="0" collapsed="false">
      <c r="A31" s="4" t="s">
        <v>110</v>
      </c>
      <c r="B31" s="13" t="s">
        <v>104</v>
      </c>
      <c r="C31" s="16" t="n">
        <v>500</v>
      </c>
      <c r="D31" s="15" t="s">
        <v>111</v>
      </c>
    </row>
    <row r="32" customFormat="false" ht="15" hidden="false" customHeight="true" outlineLevel="0" collapsed="false">
      <c r="A32" s="4" t="s">
        <v>112</v>
      </c>
      <c r="B32" s="13" t="s">
        <v>104</v>
      </c>
      <c r="C32" s="16" t="n">
        <v>500</v>
      </c>
      <c r="D32" s="15" t="s">
        <v>113</v>
      </c>
    </row>
    <row r="33" customFormat="false" ht="15" hidden="false" customHeight="true" outlineLevel="0" collapsed="false">
      <c r="A33" s="4" t="s">
        <v>114</v>
      </c>
      <c r="B33" s="13" t="s">
        <v>104</v>
      </c>
      <c r="C33" s="16" t="n">
        <v>0</v>
      </c>
      <c r="D33" s="15" t="s">
        <v>115</v>
      </c>
    </row>
    <row r="34" customFormat="false" ht="15" hidden="false" customHeight="true" outlineLevel="0" collapsed="false">
      <c r="A34" s="4" t="s">
        <v>116</v>
      </c>
      <c r="B34" s="13" t="s">
        <v>104</v>
      </c>
      <c r="C34" s="16" t="n">
        <v>1700</v>
      </c>
      <c r="D34" s="15" t="s">
        <v>117</v>
      </c>
    </row>
    <row r="35" customFormat="false" ht="15" hidden="false" customHeight="true" outlineLevel="0" collapsed="false">
      <c r="A35" s="4" t="s">
        <v>118</v>
      </c>
      <c r="B35" s="13" t="s">
        <v>104</v>
      </c>
      <c r="C35" s="16" t="n">
        <v>950</v>
      </c>
      <c r="D35" s="15" t="s">
        <v>119</v>
      </c>
    </row>
    <row r="36" customFormat="false" ht="15" hidden="false" customHeight="true" outlineLevel="0" collapsed="false">
      <c r="A36" s="4"/>
      <c r="B36" s="13"/>
      <c r="C36" s="18"/>
      <c r="D36" s="15"/>
    </row>
    <row r="37" customFormat="false" ht="26.25" hidden="false" customHeight="true" outlineLevel="0" collapsed="false">
      <c r="A37" s="12" t="s">
        <v>120</v>
      </c>
      <c r="B37" s="12"/>
      <c r="C37" s="12"/>
      <c r="D37" s="12"/>
    </row>
    <row r="38" customFormat="false" ht="26.25" hidden="false" customHeight="true" outlineLevel="0" collapsed="false">
      <c r="A38" s="23" t="s">
        <v>121</v>
      </c>
      <c r="B38" s="13" t="s">
        <v>122</v>
      </c>
      <c r="C38" s="24" t="n">
        <v>999</v>
      </c>
      <c r="D38" s="6" t="s">
        <v>123</v>
      </c>
    </row>
    <row r="39" customFormat="false" ht="15" hidden="false" customHeight="true" outlineLevel="0" collapsed="false">
      <c r="A39" s="4" t="s">
        <v>124</v>
      </c>
      <c r="B39" s="13" t="s">
        <v>125</v>
      </c>
      <c r="C39" s="18" t="n">
        <v>3</v>
      </c>
      <c r="D39" s="15" t="s">
        <v>126</v>
      </c>
    </row>
    <row r="40" customFormat="false" ht="15" hidden="false" customHeight="true" outlineLevel="0" collapsed="false">
      <c r="A40" s="23" t="s">
        <v>127</v>
      </c>
      <c r="B40" s="13" t="s">
        <v>122</v>
      </c>
      <c r="C40" s="24" t="n">
        <v>1499</v>
      </c>
      <c r="D40" s="6" t="s">
        <v>128</v>
      </c>
    </row>
    <row r="41" customFormat="false" ht="15" hidden="false" customHeight="true" outlineLevel="0" collapsed="false">
      <c r="A41" s="4" t="s">
        <v>129</v>
      </c>
      <c r="B41" s="13" t="s">
        <v>125</v>
      </c>
      <c r="C41" s="18" t="n">
        <v>5</v>
      </c>
      <c r="D41" s="15" t="s">
        <v>130</v>
      </c>
    </row>
    <row r="42" customFormat="false" ht="15" hidden="false" customHeight="true" outlineLevel="0" collapsed="false">
      <c r="A42" s="23" t="s">
        <v>131</v>
      </c>
      <c r="B42" s="13" t="s">
        <v>122</v>
      </c>
      <c r="C42" s="24" t="n">
        <v>2499</v>
      </c>
      <c r="D42" s="6" t="s">
        <v>132</v>
      </c>
    </row>
    <row r="43" customFormat="false" ht="15" hidden="false" customHeight="true" outlineLevel="0" collapsed="false">
      <c r="A43" s="4" t="s">
        <v>133</v>
      </c>
      <c r="B43" s="13" t="s">
        <v>125</v>
      </c>
      <c r="C43" s="18" t="n">
        <v>10</v>
      </c>
      <c r="D43" s="15" t="s">
        <v>134</v>
      </c>
    </row>
    <row r="44" customFormat="false" ht="15" hidden="false" customHeight="true" outlineLevel="0" collapsed="false">
      <c r="A44" s="25" t="s">
        <v>135</v>
      </c>
      <c r="B44" s="13" t="s">
        <v>122</v>
      </c>
      <c r="C44" s="24" t="n">
        <v>4999</v>
      </c>
      <c r="D44" s="26" t="s">
        <v>136</v>
      </c>
    </row>
    <row r="45" customFormat="false" ht="15" hidden="false" customHeight="true" outlineLevel="0" collapsed="false">
      <c r="A45" s="4" t="s">
        <v>137</v>
      </c>
      <c r="B45" s="13" t="s">
        <v>125</v>
      </c>
      <c r="C45" s="18" t="n">
        <v>25</v>
      </c>
      <c r="D45" s="15" t="s">
        <v>138</v>
      </c>
    </row>
    <row r="46" customFormat="false" ht="15" hidden="false" customHeight="true" outlineLevel="0" collapsed="false">
      <c r="A46" s="4"/>
      <c r="B46" s="13"/>
      <c r="C46" s="18"/>
      <c r="D46" s="15"/>
    </row>
    <row r="47" customFormat="false" ht="15" hidden="false" customHeight="true" outlineLevel="0" collapsed="false">
      <c r="A47" s="12" t="s">
        <v>139</v>
      </c>
      <c r="B47" s="12"/>
      <c r="C47" s="12"/>
      <c r="D47" s="12"/>
    </row>
    <row r="48" customFormat="false" ht="15" hidden="false" customHeight="true" outlineLevel="0" collapsed="false">
      <c r="A48" s="4" t="s">
        <v>140</v>
      </c>
      <c r="B48" s="13" t="s">
        <v>78</v>
      </c>
      <c r="C48" s="17" t="n">
        <v>0.0353</v>
      </c>
      <c r="D48" s="15" t="s">
        <v>141</v>
      </c>
    </row>
    <row r="49" customFormat="false" ht="15" hidden="false" customHeight="true" outlineLevel="0" collapsed="false">
      <c r="A49" s="4" t="s">
        <v>142</v>
      </c>
      <c r="B49" s="13" t="s">
        <v>143</v>
      </c>
      <c r="C49" s="18" t="n">
        <v>0</v>
      </c>
      <c r="D49" s="15" t="s">
        <v>144</v>
      </c>
    </row>
    <row r="50" customFormat="false" ht="15" hidden="false" customHeight="true" outlineLevel="0" collapsed="false">
      <c r="A50" s="4" t="s">
        <v>145</v>
      </c>
      <c r="B50" s="13" t="s">
        <v>78</v>
      </c>
      <c r="C50" s="17" t="n">
        <v>0.18</v>
      </c>
      <c r="D50" s="15" t="s">
        <v>146</v>
      </c>
    </row>
    <row r="51" customFormat="false" ht="15" hidden="false" customHeight="true" outlineLevel="0" collapsed="false">
      <c r="A51" s="4" t="s">
        <v>147</v>
      </c>
      <c r="B51" s="13" t="s">
        <v>78</v>
      </c>
      <c r="C51" s="17" t="n">
        <v>0.22</v>
      </c>
      <c r="D51" s="15" t="s">
        <v>148</v>
      </c>
    </row>
    <row r="52" customFormat="false" ht="15" hidden="false" customHeight="true" outlineLevel="0" collapsed="false">
      <c r="A52" s="4"/>
      <c r="B52" s="13"/>
      <c r="C52" s="18"/>
      <c r="D52" s="15"/>
    </row>
    <row r="53" customFormat="false" ht="15" hidden="false" customHeight="true" outlineLevel="0" collapsed="false">
      <c r="A53" s="12" t="s">
        <v>149</v>
      </c>
      <c r="B53" s="12"/>
      <c r="C53" s="12"/>
      <c r="D53" s="12"/>
    </row>
    <row r="54" customFormat="false" ht="15" hidden="false" customHeight="true" outlineLevel="0" collapsed="false">
      <c r="A54" s="19" t="s">
        <v>150</v>
      </c>
      <c r="B54" s="20" t="s">
        <v>125</v>
      </c>
      <c r="C54" s="27" t="n">
        <v>12</v>
      </c>
      <c r="D54" s="22" t="s">
        <v>151</v>
      </c>
    </row>
    <row r="55" customFormat="false" ht="15" hidden="false" customHeight="true" outlineLevel="0" collapsed="false">
      <c r="A55" s="4" t="s">
        <v>152</v>
      </c>
      <c r="B55" s="13" t="s">
        <v>125</v>
      </c>
      <c r="C55" s="18" t="n">
        <v>1</v>
      </c>
      <c r="D55" s="6" t="s">
        <v>153</v>
      </c>
    </row>
    <row r="56" customFormat="false" ht="15" hidden="false" customHeight="true" outlineLevel="0" collapsed="false">
      <c r="A56" s="19" t="s">
        <v>154</v>
      </c>
      <c r="B56" s="20" t="s">
        <v>78</v>
      </c>
      <c r="C56" s="21" t="n">
        <v>0.3</v>
      </c>
      <c r="D56" s="22" t="s">
        <v>155</v>
      </c>
    </row>
    <row r="57" customFormat="false" ht="15" hidden="false" customHeight="true" outlineLevel="0" collapsed="false">
      <c r="A57" s="19" t="s">
        <v>156</v>
      </c>
      <c r="B57" s="20" t="s">
        <v>157</v>
      </c>
      <c r="C57" s="27" t="n">
        <v>9</v>
      </c>
      <c r="D57" s="22" t="s">
        <v>158</v>
      </c>
    </row>
    <row r="58" customFormat="false" ht="15" hidden="false" customHeight="true" outlineLevel="0" collapsed="false">
      <c r="A58" s="4" t="s">
        <v>159</v>
      </c>
      <c r="B58" s="13" t="s">
        <v>78</v>
      </c>
      <c r="C58" s="17" t="n">
        <v>0.4</v>
      </c>
      <c r="D58" s="15" t="s">
        <v>160</v>
      </c>
    </row>
    <row r="59" customFormat="false" ht="15" hidden="false" customHeight="true" outlineLevel="0" collapsed="false">
      <c r="A59" s="4" t="s">
        <v>161</v>
      </c>
      <c r="B59" s="13" t="s">
        <v>78</v>
      </c>
      <c r="C59" s="17" t="n">
        <v>0.4</v>
      </c>
      <c r="D59" s="15" t="s">
        <v>162</v>
      </c>
    </row>
    <row r="60" customFormat="false" ht="15" hidden="false" customHeight="true" outlineLevel="0" collapsed="false">
      <c r="A60" s="4" t="s">
        <v>163</v>
      </c>
      <c r="B60" s="13" t="s">
        <v>78</v>
      </c>
      <c r="C60" s="17" t="n">
        <v>0.2</v>
      </c>
      <c r="D60" s="15" t="s">
        <v>164</v>
      </c>
    </row>
    <row r="61" customFormat="false" ht="15" hidden="false" customHeight="true" outlineLevel="0" collapsed="false">
      <c r="A61" s="4" t="s">
        <v>165</v>
      </c>
      <c r="B61" s="13" t="s">
        <v>78</v>
      </c>
      <c r="C61" s="17" t="n">
        <v>0</v>
      </c>
      <c r="D61" s="26" t="s">
        <v>166</v>
      </c>
    </row>
    <row r="62" customFormat="false" ht="15" hidden="false" customHeight="true" outlineLevel="0" collapsed="false">
      <c r="A62" s="4"/>
      <c r="B62" s="13"/>
      <c r="C62" s="18"/>
      <c r="D62" s="15"/>
    </row>
    <row r="63" customFormat="false" ht="15" hidden="false" customHeight="true" outlineLevel="0" collapsed="false">
      <c r="A63" s="12" t="s">
        <v>167</v>
      </c>
      <c r="B63" s="12"/>
      <c r="C63" s="12"/>
      <c r="D63" s="12"/>
    </row>
    <row r="64" customFormat="false" ht="15" hidden="false" customHeight="true" outlineLevel="0" collapsed="false">
      <c r="A64" s="4" t="s">
        <v>168</v>
      </c>
      <c r="B64" s="13" t="s">
        <v>169</v>
      </c>
      <c r="C64" s="18" t="n">
        <v>40</v>
      </c>
      <c r="D64" s="15"/>
    </row>
    <row r="65" customFormat="false" ht="15" hidden="false" customHeight="true" outlineLevel="0" collapsed="false">
      <c r="A65" s="4" t="s">
        <v>170</v>
      </c>
      <c r="B65" s="13" t="s">
        <v>171</v>
      </c>
      <c r="C65" s="16" t="n">
        <v>500</v>
      </c>
      <c r="D65" s="15" t="s">
        <v>172</v>
      </c>
    </row>
    <row r="66" customFormat="false" ht="15" hidden="false" customHeight="true" outlineLevel="0" collapsed="false">
      <c r="A66" s="4" t="s">
        <v>173</v>
      </c>
      <c r="B66" s="13" t="s">
        <v>169</v>
      </c>
      <c r="C66" s="18" t="n">
        <v>4</v>
      </c>
      <c r="D66" s="15" t="s">
        <v>174</v>
      </c>
    </row>
    <row r="68" customFormat="false" ht="15" hidden="false" customHeight="true" outlineLevel="0" collapsed="false">
      <c r="A68" s="28" t="s">
        <v>175</v>
      </c>
      <c r="B68" s="28"/>
      <c r="C68" s="28"/>
      <c r="D68" s="28"/>
    </row>
    <row r="69" customFormat="false" ht="15" hidden="false" customHeight="true" outlineLevel="0" collapsed="false">
      <c r="A69" s="10" t="s">
        <v>176</v>
      </c>
      <c r="B69" s="29" t="s">
        <v>125</v>
      </c>
      <c r="C69" s="30" t="n">
        <v>0</v>
      </c>
      <c r="D69" s="31" t="s">
        <v>177</v>
      </c>
    </row>
    <row r="70" customFormat="false" ht="15" hidden="false" customHeight="true" outlineLevel="0" collapsed="false">
      <c r="A70" s="10" t="s">
        <v>178</v>
      </c>
      <c r="B70" s="29" t="s">
        <v>122</v>
      </c>
      <c r="C70" s="32" t="n">
        <v>0</v>
      </c>
      <c r="D70" s="31" t="s">
        <v>179</v>
      </c>
    </row>
    <row r="71" customFormat="false" ht="15" hidden="false" customHeight="true" outlineLevel="0" collapsed="false">
      <c r="A71" s="10" t="s">
        <v>180</v>
      </c>
      <c r="B71" s="29" t="s">
        <v>122</v>
      </c>
      <c r="C71" s="32" t="n">
        <v>67.95</v>
      </c>
      <c r="D71" s="31" t="s">
        <v>181</v>
      </c>
    </row>
    <row r="73" customFormat="false" ht="15" hidden="false" customHeight="true" outlineLevel="0" collapsed="false">
      <c r="A73" s="28" t="s">
        <v>182</v>
      </c>
      <c r="B73" s="28"/>
      <c r="C73" s="28"/>
      <c r="D73" s="28"/>
    </row>
    <row r="74" customFormat="false" ht="15" hidden="false" customHeight="true" outlineLevel="0" collapsed="false">
      <c r="A74" s="10" t="s">
        <v>183</v>
      </c>
      <c r="B74" s="29" t="s">
        <v>184</v>
      </c>
      <c r="C74" s="30" t="n">
        <v>5</v>
      </c>
      <c r="D74" s="31" t="s">
        <v>185</v>
      </c>
    </row>
    <row r="75" customFormat="false" ht="15" hidden="false" customHeight="true" outlineLevel="0" collapsed="false">
      <c r="A75" s="10" t="s">
        <v>186</v>
      </c>
      <c r="B75" s="29" t="s">
        <v>187</v>
      </c>
      <c r="C75" s="32" t="n">
        <v>8.33</v>
      </c>
      <c r="D75" s="31" t="s">
        <v>188</v>
      </c>
    </row>
    <row r="76" customFormat="false" ht="15" hidden="false" customHeight="true" outlineLevel="0" collapsed="false">
      <c r="A76" s="10" t="s">
        <v>189</v>
      </c>
      <c r="B76" s="29" t="s">
        <v>78</v>
      </c>
      <c r="C76" s="33" t="n">
        <v>0.02</v>
      </c>
      <c r="D76" s="31" t="s">
        <v>190</v>
      </c>
    </row>
    <row r="77" customFormat="false" ht="15" hidden="false" customHeight="true" outlineLevel="0" collapsed="false">
      <c r="A77" s="10" t="s">
        <v>191</v>
      </c>
      <c r="B77" s="29" t="s">
        <v>78</v>
      </c>
      <c r="C77" s="33" t="n">
        <v>0.05</v>
      </c>
      <c r="D77" s="31" t="s">
        <v>192</v>
      </c>
    </row>
    <row r="79" customFormat="false" ht="15" hidden="false" customHeight="true" outlineLevel="0" collapsed="false">
      <c r="A79" s="28" t="s">
        <v>193</v>
      </c>
      <c r="B79" s="28"/>
      <c r="C79" s="28"/>
      <c r="D79" s="28"/>
    </row>
    <row r="80" customFormat="false" ht="15" hidden="false" customHeight="true" outlineLevel="0" collapsed="false">
      <c r="A80" s="10" t="s">
        <v>194</v>
      </c>
      <c r="B80" s="29" t="s">
        <v>122</v>
      </c>
      <c r="C80" s="34" t="n">
        <v>50000</v>
      </c>
      <c r="D80" s="31" t="s">
        <v>195</v>
      </c>
    </row>
    <row r="81" customFormat="false" ht="15" hidden="false" customHeight="true" outlineLevel="0" collapsed="false">
      <c r="A81" s="10" t="s">
        <v>196</v>
      </c>
      <c r="B81" s="29" t="s">
        <v>157</v>
      </c>
      <c r="C81" s="30" t="n">
        <v>3</v>
      </c>
      <c r="D81" s="31" t="s">
        <v>197</v>
      </c>
    </row>
    <row r="82" customFormat="false" ht="15" hidden="false" customHeight="true" outlineLevel="0" collapsed="false">
      <c r="A82" s="10" t="s">
        <v>198</v>
      </c>
      <c r="B82" s="29" t="s">
        <v>122</v>
      </c>
      <c r="C82" s="34" t="n">
        <v>25000</v>
      </c>
      <c r="D82" s="31" t="s">
        <v>199</v>
      </c>
    </row>
    <row r="84" customFormat="false" ht="15" hidden="false" customHeight="true" outlineLevel="0" collapsed="false">
      <c r="A84" s="28" t="s">
        <v>200</v>
      </c>
      <c r="B84" s="28"/>
      <c r="C84" s="28"/>
      <c r="D84" s="28"/>
    </row>
    <row r="85" customFormat="false" ht="15" hidden="false" customHeight="true" outlineLevel="0" collapsed="false">
      <c r="A85" s="10" t="s">
        <v>201</v>
      </c>
      <c r="B85" s="29" t="s">
        <v>202</v>
      </c>
      <c r="C85" s="35" t="n">
        <v>1.3</v>
      </c>
      <c r="D85" s="31" t="s">
        <v>203</v>
      </c>
    </row>
    <row r="86" customFormat="false" ht="15" hidden="false" customHeight="true" outlineLevel="0" collapsed="false">
      <c r="A86" s="10" t="s">
        <v>204</v>
      </c>
      <c r="B86" s="29" t="s">
        <v>78</v>
      </c>
      <c r="C86" s="36" t="n">
        <f aca="false">1/C85</f>
        <v>0.769230769230769</v>
      </c>
      <c r="D86" s="31" t="s">
        <v>205</v>
      </c>
    </row>
    <row r="88" customFormat="false" ht="15" hidden="false" customHeight="true" outlineLevel="0" collapsed="false">
      <c r="A88" s="37" t="s">
        <v>206</v>
      </c>
      <c r="B88" s="37"/>
      <c r="C88" s="37"/>
      <c r="D88" s="37"/>
    </row>
    <row r="89" customFormat="false" ht="15" hidden="false" customHeight="true" outlineLevel="0" collapsed="false">
      <c r="A89" s="38" t="s">
        <v>207</v>
      </c>
    </row>
    <row r="90" customFormat="false" ht="15" hidden="false" customHeight="true" outlineLevel="0" collapsed="false">
      <c r="A90" s="39" t="s">
        <v>208</v>
      </c>
      <c r="B90" s="39"/>
      <c r="C90" s="39"/>
      <c r="D90" s="39"/>
    </row>
    <row r="91" customFormat="false" ht="15" hidden="false" customHeight="true" outlineLevel="0" collapsed="false">
      <c r="A91" s="39" t="s">
        <v>209</v>
      </c>
      <c r="B91" s="39"/>
      <c r="C91" s="39"/>
      <c r="D91" s="39"/>
    </row>
    <row r="92" customFormat="false" ht="15" hidden="false" customHeight="true" outlineLevel="0" collapsed="false">
      <c r="A92" s="40" t="s">
        <v>210</v>
      </c>
      <c r="B92" s="40"/>
      <c r="C92" s="40"/>
      <c r="D92" s="40"/>
    </row>
    <row r="94" customFormat="false" ht="15" hidden="false" customHeight="true" outlineLevel="0" collapsed="false">
      <c r="A94" s="28" t="s">
        <v>211</v>
      </c>
      <c r="B94" s="28"/>
      <c r="C94" s="28"/>
      <c r="D94" s="28"/>
    </row>
    <row r="95" customFormat="false" ht="15" hidden="false" customHeight="true" outlineLevel="0" collapsed="false">
      <c r="A95" s="10" t="s">
        <v>212</v>
      </c>
      <c r="B95" s="29" t="s">
        <v>122</v>
      </c>
      <c r="C95" s="34" t="n">
        <v>2999</v>
      </c>
      <c r="D95" s="31" t="s">
        <v>213</v>
      </c>
    </row>
    <row r="96" customFormat="false" ht="15" hidden="false" customHeight="true" outlineLevel="0" collapsed="false">
      <c r="A96" s="10" t="s">
        <v>214</v>
      </c>
      <c r="B96" s="29" t="s">
        <v>215</v>
      </c>
      <c r="C96" s="30" t="n">
        <v>5</v>
      </c>
      <c r="D96" s="31"/>
    </row>
    <row r="97" customFormat="false" ht="15" hidden="false" customHeight="true" outlineLevel="0" collapsed="false">
      <c r="A97" s="10" t="s">
        <v>216</v>
      </c>
      <c r="B97" s="29" t="s">
        <v>125</v>
      </c>
      <c r="C97" s="30" t="n">
        <v>100</v>
      </c>
      <c r="D97" s="31"/>
    </row>
    <row r="98" customFormat="false" ht="15" hidden="false" customHeight="true" outlineLevel="0" collapsed="false">
      <c r="A98" s="10" t="s">
        <v>217</v>
      </c>
      <c r="B98" s="29" t="s">
        <v>122</v>
      </c>
      <c r="C98" s="34" t="n">
        <v>4999</v>
      </c>
      <c r="D98" s="31" t="s">
        <v>218</v>
      </c>
    </row>
    <row r="99" customFormat="false" ht="15" hidden="false" customHeight="true" outlineLevel="0" collapsed="false">
      <c r="A99" s="10" t="s">
        <v>219</v>
      </c>
      <c r="B99" s="29" t="s">
        <v>215</v>
      </c>
      <c r="C99" s="30" t="n">
        <v>10</v>
      </c>
      <c r="D99" s="31"/>
    </row>
    <row r="100" customFormat="false" ht="15" hidden="false" customHeight="true" outlineLevel="0" collapsed="false">
      <c r="A100" s="10" t="s">
        <v>220</v>
      </c>
      <c r="B100" s="29" t="s">
        <v>125</v>
      </c>
      <c r="C100" s="30" t="n">
        <v>200</v>
      </c>
      <c r="D100" s="31"/>
    </row>
    <row r="101" customFormat="false" ht="15" hidden="false" customHeight="true" outlineLevel="0" collapsed="false">
      <c r="A101" s="10" t="s">
        <v>221</v>
      </c>
      <c r="B101" s="29" t="s">
        <v>122</v>
      </c>
      <c r="C101" s="34" t="n">
        <v>9999</v>
      </c>
      <c r="D101" s="31" t="s">
        <v>222</v>
      </c>
    </row>
    <row r="102" customFormat="false" ht="15" hidden="false" customHeight="true" outlineLevel="0" collapsed="false">
      <c r="A102" s="10" t="s">
        <v>223</v>
      </c>
      <c r="B102" s="29" t="s">
        <v>215</v>
      </c>
      <c r="C102" s="30" t="n">
        <v>20</v>
      </c>
      <c r="D102" s="31"/>
    </row>
    <row r="103" customFormat="false" ht="15" hidden="false" customHeight="true" outlineLevel="0" collapsed="false">
      <c r="A103" s="10" t="s">
        <v>224</v>
      </c>
      <c r="B103" s="29" t="s">
        <v>125</v>
      </c>
      <c r="C103" s="30" t="n">
        <v>500</v>
      </c>
      <c r="D103" s="31"/>
    </row>
  </sheetData>
  <mergeCells count="11">
    <mergeCell ref="A1:D1"/>
    <mergeCell ref="A2:D2"/>
    <mergeCell ref="A68:D68"/>
    <mergeCell ref="A73:D73"/>
    <mergeCell ref="A79:D79"/>
    <mergeCell ref="A84:D84"/>
    <mergeCell ref="A88:D88"/>
    <mergeCell ref="A90:D90"/>
    <mergeCell ref="A91:D91"/>
    <mergeCell ref="A92:D92"/>
    <mergeCell ref="A94:D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38"/>
  </cols>
  <sheetData>
    <row r="1" customFormat="false" ht="27.75" hidden="false" customHeight="true" outlineLevel="0" collapsed="false">
      <c r="A1" s="2" t="s">
        <v>225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41" t="s">
        <v>226</v>
      </c>
      <c r="B3" s="41"/>
      <c r="C3" s="41"/>
      <c r="D3" s="41"/>
      <c r="E3" s="41"/>
      <c r="F3" s="41"/>
    </row>
    <row r="4" customFormat="false" ht="15" hidden="false" customHeight="true" outlineLevel="0" collapsed="false">
      <c r="A4" s="42" t="s">
        <v>227</v>
      </c>
      <c r="B4" s="42" t="s">
        <v>228</v>
      </c>
      <c r="C4" s="42" t="s">
        <v>229</v>
      </c>
      <c r="D4" s="42" t="s">
        <v>230</v>
      </c>
    </row>
    <row r="5" customFormat="false" ht="15" hidden="false" customHeight="true" outlineLevel="0" collapsed="false">
      <c r="A5" s="9" t="s">
        <v>231</v>
      </c>
      <c r="B5" s="43" t="n">
        <v>50</v>
      </c>
      <c r="C5" s="44" t="n">
        <f aca="false">B5*'2. Inputs'!$C$9</f>
        <v>4200</v>
      </c>
      <c r="D5" s="31" t="s">
        <v>232</v>
      </c>
    </row>
    <row r="6" customFormat="false" ht="15" hidden="false" customHeight="true" outlineLevel="0" collapsed="false">
      <c r="A6" s="10" t="s">
        <v>233</v>
      </c>
      <c r="B6" s="43" t="n">
        <v>-11.15</v>
      </c>
      <c r="C6" s="44" t="n">
        <f aca="false">B6*'2. Inputs'!$C$9</f>
        <v>-936.6</v>
      </c>
      <c r="D6" s="31" t="s">
        <v>234</v>
      </c>
    </row>
    <row r="7" customFormat="false" ht="15" hidden="false" customHeight="true" outlineLevel="0" collapsed="false">
      <c r="A7" s="10" t="s">
        <v>235</v>
      </c>
      <c r="B7" s="43" t="n">
        <v>-12.3</v>
      </c>
      <c r="C7" s="44" t="n">
        <f aca="false">B7*'2. Inputs'!$C$9</f>
        <v>-1033.2</v>
      </c>
      <c r="D7" s="31" t="s">
        <v>236</v>
      </c>
    </row>
    <row r="8" customFormat="false" ht="15" hidden="false" customHeight="true" outlineLevel="0" collapsed="false">
      <c r="A8" s="9" t="s">
        <v>237</v>
      </c>
      <c r="B8" s="43" t="n">
        <v>26.55</v>
      </c>
      <c r="C8" s="44" t="n">
        <f aca="false">B8*'2. Inputs'!$C$9</f>
        <v>2230.2</v>
      </c>
      <c r="D8" s="31" t="s">
        <v>238</v>
      </c>
    </row>
    <row r="9" customFormat="false" ht="15" hidden="false" customHeight="true" outlineLevel="0" collapsed="false">
      <c r="A9" s="9" t="s">
        <v>239</v>
      </c>
      <c r="B9" s="43" t="n">
        <v>23.45</v>
      </c>
      <c r="C9" s="44" t="n">
        <f aca="false">B9*'2. Inputs'!$C$9</f>
        <v>1969.8</v>
      </c>
      <c r="D9" s="31" t="s">
        <v>240</v>
      </c>
    </row>
    <row r="12" customFormat="false" ht="21.75" hidden="false" customHeight="true" outlineLevel="0" collapsed="false">
      <c r="A12" s="41" t="s">
        <v>241</v>
      </c>
      <c r="B12" s="41"/>
      <c r="C12" s="41"/>
      <c r="D12" s="41"/>
      <c r="E12" s="41"/>
      <c r="F12" s="41"/>
    </row>
    <row r="13" customFormat="false" ht="15" hidden="false" customHeight="true" outlineLevel="0" collapsed="false">
      <c r="A13" s="42" t="s">
        <v>242</v>
      </c>
      <c r="B13" s="42" t="s">
        <v>243</v>
      </c>
      <c r="C13" s="42" t="s">
        <v>228</v>
      </c>
      <c r="D13" s="42" t="s">
        <v>244</v>
      </c>
      <c r="E13" s="42" t="s">
        <v>245</v>
      </c>
      <c r="F13" s="42" t="s">
        <v>230</v>
      </c>
    </row>
    <row r="14" customFormat="false" ht="15" hidden="false" customHeight="true" outlineLevel="0" collapsed="false">
      <c r="A14" s="1" t="s">
        <v>56</v>
      </c>
      <c r="B14" s="1" t="s">
        <v>246</v>
      </c>
      <c r="C14" s="45" t="n">
        <f aca="false">('2. Inputs'!$C$13*'2. Inputs'!$C$5 + '2. Inputs'!$C$14*'2. Inputs'!$C$6)/1000000</f>
        <v>0.1155</v>
      </c>
      <c r="D14" s="46" t="n">
        <f aca="false">C14*'2. Inputs'!$C$9</f>
        <v>9.702</v>
      </c>
      <c r="E14" s="46" t="n">
        <f aca="false">D14*(1+'2. Inputs'!$C$10)</f>
        <v>11.73942</v>
      </c>
      <c r="F14" s="1" t="s">
        <v>247</v>
      </c>
    </row>
    <row r="15" customFormat="false" ht="15" hidden="false" customHeight="true" outlineLevel="0" collapsed="false">
      <c r="A15" s="1" t="s">
        <v>248</v>
      </c>
      <c r="B15" s="1" t="s">
        <v>249</v>
      </c>
      <c r="C15" s="45" t="n">
        <f aca="false">('2. Inputs'!$C$15*'2. Inputs'!$C$5 + ('2. Inputs'!$C$16+'2. Inputs'!$C$17)*'2. Inputs'!$C$8 + '2. Inputs'!$C$18*'2. Inputs'!$C$6)/1000000</f>
        <v>0.1464</v>
      </c>
      <c r="D15" s="46" t="n">
        <f aca="false">C15*'2. Inputs'!$C$9</f>
        <v>12.2976</v>
      </c>
      <c r="E15" s="46" t="n">
        <f aca="false">D15*(1+'2. Inputs'!$C$10)</f>
        <v>14.880096</v>
      </c>
      <c r="F15" s="1" t="s">
        <v>250</v>
      </c>
    </row>
    <row r="16" customFormat="false" ht="15" hidden="false" customHeight="true" outlineLevel="0" collapsed="false">
      <c r="A16" s="1" t="s">
        <v>251</v>
      </c>
      <c r="B16" s="1" t="s">
        <v>252</v>
      </c>
      <c r="C16" s="45" t="n">
        <f aca="false">('2. Inputs'!$C$15*'2. Inputs'!$C$5 + ('2. Inputs'!$C$16+'2. Inputs'!$C$17)*'2. Inputs'!$C$7 + '2. Inputs'!$C$18*'2. Inputs'!$C$6)/1000000</f>
        <v>0.381</v>
      </c>
      <c r="D16" s="46" t="n">
        <f aca="false">C16*'2. Inputs'!$C$9</f>
        <v>32.004</v>
      </c>
      <c r="E16" s="46" t="n">
        <f aca="false">D16*(1+'2. Inputs'!$C$10)</f>
        <v>38.72484</v>
      </c>
      <c r="F16" s="1" t="s">
        <v>253</v>
      </c>
    </row>
    <row r="17" customFormat="false" ht="15" hidden="false" customHeight="true" outlineLevel="0" collapsed="false">
      <c r="A17" s="1" t="s">
        <v>61</v>
      </c>
      <c r="B17" s="1" t="s">
        <v>254</v>
      </c>
      <c r="C17" s="45" t="n">
        <f aca="false">('2. Inputs'!$C$19*'2. Inputs'!$C$5 + '2. Inputs'!$C$20*'2. Inputs'!$C$6)/1000000</f>
        <v>0.042</v>
      </c>
      <c r="D17" s="46" t="n">
        <f aca="false">C17*'2. Inputs'!$C$9</f>
        <v>3.528</v>
      </c>
      <c r="E17" s="46" t="n">
        <f aca="false">D17*(1+'2. Inputs'!$C$10)</f>
        <v>4.26888</v>
      </c>
      <c r="F17" s="1" t="s">
        <v>255</v>
      </c>
    </row>
    <row r="19" customFormat="false" ht="15" hidden="false" customHeight="true" outlineLevel="0" collapsed="false">
      <c r="A19" s="9" t="s">
        <v>256</v>
      </c>
      <c r="C19" s="45" t="n">
        <f aca="false">C14+C15+C17</f>
        <v>0.3039</v>
      </c>
      <c r="D19" s="46" t="n">
        <f aca="false">D14+D15+D17</f>
        <v>25.5276</v>
      </c>
      <c r="E19" s="47" t="n">
        <f aca="false">E14+E15+E17</f>
        <v>30.888396</v>
      </c>
      <c r="F19" s="1" t="s">
        <v>257</v>
      </c>
    </row>
    <row r="20" customFormat="false" ht="15" hidden="false" customHeight="true" outlineLevel="0" collapsed="false">
      <c r="A20" s="9" t="s">
        <v>258</v>
      </c>
      <c r="C20" s="45" t="n">
        <f aca="false">C14+C16+C17</f>
        <v>0.5385</v>
      </c>
      <c r="D20" s="46" t="n">
        <f aca="false">D14+D16+D17</f>
        <v>45.234</v>
      </c>
      <c r="E20" s="46" t="n">
        <f aca="false">E14+E16+E17</f>
        <v>54.73314</v>
      </c>
      <c r="F20" s="1" t="s">
        <v>259</v>
      </c>
    </row>
    <row r="21" customFormat="false" ht="15" hidden="false" customHeight="true" outlineLevel="0" collapsed="false">
      <c r="A21" s="9" t="s">
        <v>260</v>
      </c>
      <c r="C21" s="45" t="n">
        <f aca="false">E19*'2. Inputs'!$C$23/(1+'2. Inputs'!$C$10) + E20*(1-'2. Inputs'!$C$23)/(1+'2. Inputs'!$C$10)</f>
        <v>35.3808</v>
      </c>
      <c r="D21" s="46" t="n">
        <f aca="false">C21*'2. Inputs'!$C$9</f>
        <v>2971.9872</v>
      </c>
      <c r="E21" s="48" t="n">
        <f aca="false">E19*'2. Inputs'!$C$23 + E20*(1-'2. Inputs'!$C$23)</f>
        <v>42.810768</v>
      </c>
      <c r="F21" s="1" t="s">
        <v>261</v>
      </c>
    </row>
    <row r="22" customFormat="false" ht="15" hidden="false" customHeight="true" outlineLevel="0" collapsed="false">
      <c r="A22" s="9" t="s">
        <v>262</v>
      </c>
      <c r="E22" s="49" t="n">
        <f aca="false">E21*(1+'2. Inputs'!$C$24)/(1-'2. Inputs'!$C$25)</f>
        <v>56.3299578947368</v>
      </c>
      <c r="F22" s="1" t="s">
        <v>263</v>
      </c>
    </row>
    <row r="25" customFormat="false" ht="21.75" hidden="false" customHeight="true" outlineLevel="0" collapsed="false">
      <c r="A25" s="41" t="s">
        <v>264</v>
      </c>
      <c r="B25" s="41"/>
      <c r="C25" s="41"/>
      <c r="D25" s="41"/>
      <c r="E25" s="41"/>
      <c r="F25" s="41"/>
    </row>
    <row r="26" customFormat="false" ht="15" hidden="false" customHeight="true" outlineLevel="0" collapsed="false">
      <c r="A26" s="1" t="s">
        <v>265</v>
      </c>
      <c r="B26" s="50" t="n">
        <f aca="false">B9</f>
        <v>23.45</v>
      </c>
    </row>
    <row r="27" customFormat="false" ht="15" hidden="false" customHeight="true" outlineLevel="0" collapsed="false">
      <c r="A27" s="1" t="s">
        <v>266</v>
      </c>
      <c r="B27" s="30" t="n">
        <v>29</v>
      </c>
      <c r="C27" s="31" t="s">
        <v>267</v>
      </c>
    </row>
    <row r="28" customFormat="false" ht="15" hidden="false" customHeight="true" outlineLevel="0" collapsed="false">
      <c r="A28" s="1" t="s">
        <v>268</v>
      </c>
      <c r="B28" s="51" t="n">
        <f aca="false">B26/B27</f>
        <v>0.808620689655172</v>
      </c>
    </row>
    <row r="29" customFormat="false" ht="15" hidden="false" customHeight="true" outlineLevel="0" collapsed="false">
      <c r="A29" s="1" t="s">
        <v>269</v>
      </c>
      <c r="B29" s="48" t="n">
        <f aca="false">B28*'2. Inputs'!$C$9*(1+'2. Inputs'!$C$10)</f>
        <v>82.1882068965517</v>
      </c>
    </row>
    <row r="30" customFormat="false" ht="15" hidden="false" customHeight="true" outlineLevel="0" collapsed="false">
      <c r="A30" s="1" t="s">
        <v>270</v>
      </c>
      <c r="B30" s="52" t="n">
        <f aca="false">E22</f>
        <v>56.3299578947368</v>
      </c>
    </row>
    <row r="31" customFormat="false" ht="15" hidden="false" customHeight="true" outlineLevel="0" collapsed="false">
      <c r="A31" s="1" t="s">
        <v>271</v>
      </c>
      <c r="B31" s="53" t="n">
        <f aca="false">IF(B29&gt;B30,B29-B30,0)</f>
        <v>25.8582490018149</v>
      </c>
      <c r="C31" s="31" t="s">
        <v>272</v>
      </c>
    </row>
    <row r="33" customFormat="false" ht="21.75" hidden="false" customHeight="true" outlineLevel="0" collapsed="false">
      <c r="A33" s="41" t="s">
        <v>273</v>
      </c>
      <c r="B33" s="41"/>
      <c r="C33" s="41"/>
      <c r="D33" s="41"/>
      <c r="E33" s="41"/>
      <c r="F33" s="41"/>
    </row>
    <row r="34" customFormat="false" ht="15" hidden="false" customHeight="true" outlineLevel="0" collapsed="false">
      <c r="A34" s="42" t="s">
        <v>274</v>
      </c>
      <c r="B34" s="42" t="s">
        <v>275</v>
      </c>
      <c r="C34" s="42" t="s">
        <v>276</v>
      </c>
      <c r="D34" s="42" t="s">
        <v>277</v>
      </c>
      <c r="E34" s="42" t="s">
        <v>278</v>
      </c>
    </row>
    <row r="35" customFormat="false" ht="15" hidden="false" customHeight="true" outlineLevel="0" collapsed="false">
      <c r="A35" s="10" t="s">
        <v>279</v>
      </c>
      <c r="B35" s="54" t="n">
        <v>1</v>
      </c>
      <c r="C35" s="53" t="n">
        <f aca="false">E$22*B35</f>
        <v>56.3299578947368</v>
      </c>
      <c r="D35" s="53" t="n">
        <f aca="false">C35-E$22</f>
        <v>0</v>
      </c>
      <c r="E35" s="31" t="s">
        <v>280</v>
      </c>
    </row>
    <row r="36" customFormat="false" ht="15" hidden="false" customHeight="true" outlineLevel="0" collapsed="false">
      <c r="A36" s="10" t="s">
        <v>281</v>
      </c>
      <c r="B36" s="54" t="n">
        <v>1.25</v>
      </c>
      <c r="C36" s="53" t="n">
        <f aca="false">E$22*B36</f>
        <v>70.412447368421</v>
      </c>
      <c r="D36" s="53" t="n">
        <f aca="false">C36-E$22</f>
        <v>14.0824894736842</v>
      </c>
      <c r="E36" s="31" t="s">
        <v>282</v>
      </c>
    </row>
    <row r="37" customFormat="false" ht="15" hidden="false" customHeight="true" outlineLevel="0" collapsed="false">
      <c r="A37" s="10" t="s">
        <v>283</v>
      </c>
      <c r="B37" s="54" t="n">
        <v>1.5</v>
      </c>
      <c r="C37" s="53" t="n">
        <f aca="false">E$22*B37</f>
        <v>84.4949368421053</v>
      </c>
      <c r="D37" s="53" t="n">
        <f aca="false">C37-E$22</f>
        <v>28.1649789473684</v>
      </c>
      <c r="E37" s="31" t="s">
        <v>284</v>
      </c>
    </row>
    <row r="38" customFormat="false" ht="15" hidden="false" customHeight="true" outlineLevel="0" collapsed="false">
      <c r="A38" s="10" t="s">
        <v>285</v>
      </c>
      <c r="B38" s="54" t="n">
        <v>2</v>
      </c>
      <c r="C38" s="53" t="n">
        <f aca="false">E$22*B38</f>
        <v>112.659915789474</v>
      </c>
      <c r="D38" s="53" t="n">
        <f aca="false">C38-E$22</f>
        <v>56.3299578947368</v>
      </c>
      <c r="E38" s="31" t="s">
        <v>286</v>
      </c>
    </row>
    <row r="39" customFormat="false" ht="15" hidden="false" customHeight="true" outlineLevel="0" collapsed="false">
      <c r="A39" s="10" t="s">
        <v>287</v>
      </c>
      <c r="B39" s="54" t="n">
        <v>1</v>
      </c>
      <c r="C39" s="53" t="n">
        <f aca="false">E$22*B39</f>
        <v>56.3299578947368</v>
      </c>
      <c r="D39" s="53" t="n">
        <f aca="false">C39-E$22</f>
        <v>0</v>
      </c>
      <c r="E39" s="31" t="s">
        <v>288</v>
      </c>
    </row>
  </sheetData>
  <mergeCells count="5">
    <mergeCell ref="A1:F1"/>
    <mergeCell ref="A3:F3"/>
    <mergeCell ref="A12:F12"/>
    <mergeCell ref="A25:F25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2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289</v>
      </c>
      <c r="B1" s="2"/>
      <c r="C1" s="2"/>
      <c r="D1" s="2"/>
      <c r="E1" s="2"/>
    </row>
    <row r="3" customFormat="false" ht="15" hidden="false" customHeight="true" outlineLevel="0" collapsed="false">
      <c r="A3" s="42" t="s">
        <v>290</v>
      </c>
      <c r="B3" s="42" t="s">
        <v>291</v>
      </c>
      <c r="C3" s="42" t="s">
        <v>292</v>
      </c>
      <c r="D3" s="42" t="s">
        <v>293</v>
      </c>
      <c r="E3" s="42" t="s">
        <v>230</v>
      </c>
    </row>
    <row r="4" customFormat="false" ht="15" hidden="false" customHeight="true" outlineLevel="0" collapsed="false">
      <c r="A4" s="10" t="s">
        <v>294</v>
      </c>
      <c r="B4" s="55" t="n">
        <f aca="false">'2. Inputs'!$C$28</f>
        <v>1250</v>
      </c>
      <c r="C4" s="34" t="n">
        <v>5000</v>
      </c>
      <c r="D4" s="34" t="n">
        <v>12000</v>
      </c>
      <c r="E4" s="31" t="s">
        <v>295</v>
      </c>
    </row>
    <row r="5" customFormat="false" ht="15" hidden="false" customHeight="true" outlineLevel="0" collapsed="false">
      <c r="A5" s="10" t="s">
        <v>296</v>
      </c>
      <c r="B5" s="55" t="n">
        <f aca="false">'2. Inputs'!$C$29</f>
        <v>0</v>
      </c>
      <c r="C5" s="34" t="n">
        <v>2100</v>
      </c>
      <c r="D5" s="34" t="n">
        <v>4200</v>
      </c>
      <c r="E5" s="31" t="s">
        <v>297</v>
      </c>
    </row>
    <row r="6" customFormat="false" ht="15" hidden="false" customHeight="true" outlineLevel="0" collapsed="false">
      <c r="A6" s="10" t="s">
        <v>298</v>
      </c>
      <c r="B6" s="55" t="n">
        <f aca="false">'2. Inputs'!$C$30</f>
        <v>100</v>
      </c>
      <c r="C6" s="55" t="n">
        <f aca="false">'2. Inputs'!$C$30</f>
        <v>100</v>
      </c>
      <c r="D6" s="55" t="n">
        <f aca="false">'2. Inputs'!$C$30</f>
        <v>100</v>
      </c>
      <c r="E6" s="31" t="s">
        <v>109</v>
      </c>
    </row>
    <row r="7" customFormat="false" ht="15" hidden="false" customHeight="true" outlineLevel="0" collapsed="false">
      <c r="A7" s="10" t="s">
        <v>110</v>
      </c>
      <c r="B7" s="55" t="n">
        <f aca="false">'2. Inputs'!$C$31</f>
        <v>500</v>
      </c>
      <c r="C7" s="34" t="n">
        <v>2000</v>
      </c>
      <c r="D7" s="34" t="n">
        <v>5000</v>
      </c>
      <c r="E7" s="31" t="s">
        <v>299</v>
      </c>
    </row>
    <row r="8" customFormat="false" ht="15" hidden="false" customHeight="true" outlineLevel="0" collapsed="false">
      <c r="A8" s="10" t="s">
        <v>112</v>
      </c>
      <c r="B8" s="55" t="n">
        <f aca="false">'2. Inputs'!$C$32</f>
        <v>500</v>
      </c>
      <c r="C8" s="34" t="n">
        <v>2000</v>
      </c>
      <c r="D8" s="34" t="n">
        <v>5000</v>
      </c>
      <c r="E8" s="31" t="s">
        <v>300</v>
      </c>
    </row>
    <row r="9" customFormat="false" ht="15" hidden="false" customHeight="true" outlineLevel="0" collapsed="false">
      <c r="A9" s="10" t="s">
        <v>114</v>
      </c>
      <c r="B9" s="55" t="n">
        <f aca="false">'2. Inputs'!$C$33</f>
        <v>0</v>
      </c>
      <c r="C9" s="34" t="n">
        <v>0</v>
      </c>
      <c r="D9" s="34" t="n">
        <v>0</v>
      </c>
      <c r="E9" s="31" t="s">
        <v>301</v>
      </c>
    </row>
    <row r="10" customFormat="false" ht="15" hidden="false" customHeight="true" outlineLevel="0" collapsed="false">
      <c r="A10" s="10" t="s">
        <v>302</v>
      </c>
      <c r="B10" s="55" t="n">
        <f aca="false">'2. Inputs'!$C$34</f>
        <v>1700</v>
      </c>
      <c r="C10" s="34" t="n">
        <v>1700</v>
      </c>
      <c r="D10" s="34" t="n">
        <v>1700</v>
      </c>
      <c r="E10" s="31" t="s">
        <v>303</v>
      </c>
    </row>
    <row r="11" customFormat="false" ht="15" hidden="false" customHeight="true" outlineLevel="0" collapsed="false">
      <c r="A11" s="10" t="s">
        <v>118</v>
      </c>
      <c r="B11" s="55" t="n">
        <f aca="false">'2. Inputs'!$C$35</f>
        <v>950</v>
      </c>
      <c r="C11" s="34" t="n">
        <v>2000</v>
      </c>
      <c r="D11" s="34" t="n">
        <v>5000</v>
      </c>
      <c r="E11" s="31" t="s">
        <v>304</v>
      </c>
    </row>
    <row r="12" customFormat="false" ht="15" hidden="false" customHeight="true" outlineLevel="0" collapsed="false">
      <c r="A12" s="56" t="s">
        <v>305</v>
      </c>
      <c r="B12" s="57" t="n">
        <f aca="false">SUM(B4:B11)</f>
        <v>5000</v>
      </c>
      <c r="C12" s="57" t="n">
        <f aca="false">SUM(C4:C11)</f>
        <v>14900</v>
      </c>
      <c r="D12" s="57" t="n">
        <f aca="false">SUM(D4:D11)</f>
        <v>33000</v>
      </c>
    </row>
    <row r="14" customFormat="false" ht="21.75" hidden="false" customHeight="true" outlineLevel="0" collapsed="false">
      <c r="A14" s="41" t="s">
        <v>306</v>
      </c>
      <c r="B14" s="41"/>
      <c r="C14" s="41"/>
      <c r="D14" s="41"/>
      <c r="E14" s="41"/>
    </row>
    <row r="15" customFormat="false" ht="15" hidden="false" customHeight="true" outlineLevel="0" collapsed="false">
      <c r="A15" s="42" t="s">
        <v>307</v>
      </c>
      <c r="B15" s="42" t="s">
        <v>308</v>
      </c>
      <c r="C15" s="42" t="s">
        <v>309</v>
      </c>
      <c r="D15" s="42" t="s">
        <v>310</v>
      </c>
    </row>
    <row r="16" customFormat="false" ht="15" hidden="false" customHeight="true" outlineLevel="0" collapsed="false">
      <c r="A16" s="10" t="s">
        <v>311</v>
      </c>
      <c r="B16" s="30" t="n">
        <v>10</v>
      </c>
      <c r="C16" s="55" t="n">
        <f aca="false">B12</f>
        <v>5000</v>
      </c>
      <c r="D16" s="53" t="n">
        <f aca="false">C16/B16</f>
        <v>500</v>
      </c>
    </row>
    <row r="17" customFormat="false" ht="15" hidden="false" customHeight="true" outlineLevel="0" collapsed="false">
      <c r="A17" s="10" t="s">
        <v>312</v>
      </c>
      <c r="B17" s="30" t="n">
        <v>30</v>
      </c>
      <c r="C17" s="55" t="n">
        <f aca="false">B12</f>
        <v>5000</v>
      </c>
      <c r="D17" s="53" t="n">
        <f aca="false">C17/B17</f>
        <v>166.666666666667</v>
      </c>
    </row>
    <row r="18" customFormat="false" ht="15" hidden="false" customHeight="true" outlineLevel="0" collapsed="false">
      <c r="A18" s="10" t="s">
        <v>313</v>
      </c>
      <c r="B18" s="30" t="n">
        <v>100</v>
      </c>
      <c r="C18" s="55" t="n">
        <f aca="false">B12</f>
        <v>5000</v>
      </c>
      <c r="D18" s="53" t="n">
        <f aca="false">C18/B18</f>
        <v>50</v>
      </c>
    </row>
    <row r="19" customFormat="false" ht="15" hidden="false" customHeight="true" outlineLevel="0" collapsed="false">
      <c r="A19" s="10" t="s">
        <v>314</v>
      </c>
      <c r="B19" s="30" t="n">
        <v>500</v>
      </c>
      <c r="C19" s="55" t="n">
        <f aca="false">C12</f>
        <v>14900</v>
      </c>
      <c r="D19" s="53" t="n">
        <f aca="false">C19/B19</f>
        <v>29.8</v>
      </c>
    </row>
    <row r="20" customFormat="false" ht="15" hidden="false" customHeight="true" outlineLevel="0" collapsed="false">
      <c r="A20" s="10" t="s">
        <v>315</v>
      </c>
      <c r="B20" s="30" t="n">
        <v>2000</v>
      </c>
      <c r="C20" s="55" t="n">
        <f aca="false">D12</f>
        <v>33000</v>
      </c>
      <c r="D20" s="53" t="n">
        <f aca="false">C20/B20</f>
        <v>16.5</v>
      </c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  <col collapsed="false" customWidth="true" hidden="false" outlineLevel="0" max="6" min="6" style="1" width="36"/>
  </cols>
  <sheetData>
    <row r="1" customFormat="false" ht="27.75" hidden="false" customHeight="true" outlineLevel="0" collapsed="false">
      <c r="A1" s="2" t="s">
        <v>316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42" t="s">
        <v>317</v>
      </c>
      <c r="B3" s="58" t="s">
        <v>318</v>
      </c>
      <c r="C3" s="58" t="s">
        <v>319</v>
      </c>
      <c r="D3" s="58" t="s">
        <v>320</v>
      </c>
      <c r="E3" s="59" t="s">
        <v>321</v>
      </c>
      <c r="F3" s="42" t="s">
        <v>322</v>
      </c>
    </row>
    <row r="4" customFormat="false" ht="15" hidden="false" customHeight="true" outlineLevel="0" collapsed="false">
      <c r="A4" s="1" t="s">
        <v>323</v>
      </c>
      <c r="B4" s="55" t="n">
        <f aca="false">'2. Inputs'!$C$38</f>
        <v>999</v>
      </c>
      <c r="C4" s="55" t="n">
        <f aca="false">'2. Inputs'!$C$40</f>
        <v>1499</v>
      </c>
      <c r="D4" s="55" t="n">
        <f aca="false">'2. Inputs'!$C$42</f>
        <v>2499</v>
      </c>
      <c r="E4" s="55" t="n">
        <f aca="false">'2. Inputs'!$C$44</f>
        <v>4999</v>
      </c>
      <c r="F4" s="1" t="s">
        <v>324</v>
      </c>
    </row>
    <row r="5" customFormat="false" ht="15" hidden="false" customHeight="true" outlineLevel="0" collapsed="false">
      <c r="A5" s="1" t="s">
        <v>325</v>
      </c>
      <c r="B5" s="60" t="n">
        <f aca="false">'2. Inputs'!$C$39</f>
        <v>3</v>
      </c>
      <c r="C5" s="60" t="n">
        <f aca="false">'2. Inputs'!$C$41</f>
        <v>5</v>
      </c>
      <c r="D5" s="60" t="n">
        <f aca="false">'2. Inputs'!$C$43</f>
        <v>10</v>
      </c>
      <c r="E5" s="60" t="n">
        <f aca="false">'2. Inputs'!$C$45</f>
        <v>25</v>
      </c>
      <c r="F5" s="1" t="s">
        <v>326</v>
      </c>
    </row>
    <row r="6" customFormat="false" ht="15" hidden="false" customHeight="true" outlineLevel="0" collapsed="false">
      <c r="A6" s="1" t="s">
        <v>327</v>
      </c>
      <c r="B6" s="53" t="n">
        <f aca="false">B4/B5</f>
        <v>333</v>
      </c>
      <c r="C6" s="53" t="n">
        <f aca="false">C4/C5</f>
        <v>299.8</v>
      </c>
      <c r="D6" s="53" t="n">
        <f aca="false">D4/D5</f>
        <v>249.9</v>
      </c>
      <c r="E6" s="53" t="n">
        <f aca="false">E4/E5</f>
        <v>199.96</v>
      </c>
      <c r="F6" s="1" t="s">
        <v>328</v>
      </c>
    </row>
    <row r="7" customFormat="false" ht="15" hidden="false" customHeight="true" outlineLevel="0" collapsed="false">
      <c r="A7" s="1" t="s">
        <v>329</v>
      </c>
      <c r="B7" s="53" t="n">
        <f aca="false">-B6*'2. Inputs'!$C$50/(1+'2. Inputs'!$C$50)*'2. Inputs'!$C$49</f>
        <v>-0</v>
      </c>
      <c r="C7" s="53" t="n">
        <f aca="false">-C6*'2. Inputs'!$C$50/(1+'2. Inputs'!$C$50)*'2. Inputs'!$C$49</f>
        <v>-0</v>
      </c>
      <c r="D7" s="53" t="n">
        <f aca="false">-D6*'2. Inputs'!$C$50/(1+'2. Inputs'!$C$50)*'2. Inputs'!$C$49</f>
        <v>-0</v>
      </c>
      <c r="E7" s="53" t="n">
        <f aca="false">-E6*'2. Inputs'!$C$50/(1+'2. Inputs'!$C$50)*'2. Inputs'!$C$49</f>
        <v>-0</v>
      </c>
      <c r="F7" s="1" t="s">
        <v>330</v>
      </c>
    </row>
    <row r="8" customFormat="false" ht="15" hidden="false" customHeight="true" outlineLevel="0" collapsed="false">
      <c r="A8" s="1" t="s">
        <v>331</v>
      </c>
      <c r="B8" s="53" t="n">
        <f aca="false">-B6*'2. Inputs'!$C$48</f>
        <v>-11.7549</v>
      </c>
      <c r="C8" s="53" t="n">
        <f aca="false">-C6*'2. Inputs'!$C$48</f>
        <v>-10.58294</v>
      </c>
      <c r="D8" s="53" t="n">
        <f aca="false">-D6*'2. Inputs'!$C$48</f>
        <v>-8.82147</v>
      </c>
      <c r="E8" s="53" t="n">
        <f aca="false">-E6*'2. Inputs'!$C$48</f>
        <v>-7.058588</v>
      </c>
      <c r="F8" s="1" t="s">
        <v>332</v>
      </c>
    </row>
    <row r="9" customFormat="false" ht="15" hidden="false" customHeight="true" outlineLevel="0" collapsed="false">
      <c r="A9" s="1" t="s">
        <v>333</v>
      </c>
      <c r="B9" s="61" t="n">
        <f aca="false">-'3. API Cost Reality'!$E$22</f>
        <v>-56.3299578947368</v>
      </c>
      <c r="C9" s="61" t="n">
        <f aca="false">-'3. API Cost Reality'!$E$22</f>
        <v>-56.3299578947368</v>
      </c>
      <c r="D9" s="61" t="n">
        <f aca="false">-'3. API Cost Reality'!$E$22</f>
        <v>-56.3299578947368</v>
      </c>
      <c r="E9" s="61" t="n">
        <f aca="false">-'3. API Cost Reality'!$E$22</f>
        <v>-56.3299578947368</v>
      </c>
      <c r="F9" s="1" t="s">
        <v>334</v>
      </c>
    </row>
    <row r="10" customFormat="false" ht="15" hidden="false" customHeight="true" outlineLevel="0" collapsed="false">
      <c r="A10" s="1" t="s">
        <v>335</v>
      </c>
      <c r="B10" s="61" t="n">
        <f aca="false">-'4. Fixed Costs'!$B$12/100</f>
        <v>-50</v>
      </c>
      <c r="C10" s="61" t="n">
        <f aca="false">-'4. Fixed Costs'!$B$12/100</f>
        <v>-50</v>
      </c>
      <c r="D10" s="61" t="n">
        <f aca="false">-'4. Fixed Costs'!$B$12/100</f>
        <v>-50</v>
      </c>
      <c r="E10" s="61" t="n">
        <f aca="false">-'4. Fixed Costs'!$B$12/100</f>
        <v>-50</v>
      </c>
      <c r="F10" s="1" t="s">
        <v>336</v>
      </c>
    </row>
    <row r="11" customFormat="false" ht="15" hidden="false" customHeight="true" outlineLevel="0" collapsed="false">
      <c r="A11" s="1" t="s">
        <v>337</v>
      </c>
      <c r="B11" s="53" t="n">
        <f aca="false">-'3. API Cost Reality'!$E$21*'2. Inputs'!$C$25</f>
        <v>-2.1405384</v>
      </c>
      <c r="C11" s="53" t="n">
        <f aca="false">-'3. API Cost Reality'!$E$21*'2. Inputs'!$C$25</f>
        <v>-2.1405384</v>
      </c>
      <c r="D11" s="53" t="n">
        <f aca="false">-'3. API Cost Reality'!$E$21*'2. Inputs'!$C$25</f>
        <v>-2.1405384</v>
      </c>
      <c r="E11" s="53" t="n">
        <f aca="false">-'3. API Cost Reality'!$E$21*'2. Inputs'!$C$25</f>
        <v>-2.1405384</v>
      </c>
      <c r="F11" s="1" t="s">
        <v>338</v>
      </c>
    </row>
    <row r="12" customFormat="false" ht="15" hidden="false" customHeight="true" outlineLevel="0" collapsed="false">
      <c r="A12" s="56" t="s">
        <v>339</v>
      </c>
      <c r="B12" s="48" t="n">
        <f aca="false">B6+B7+B8+B9+B10+B11</f>
        <v>212.774603705263</v>
      </c>
      <c r="C12" s="48" t="n">
        <f aca="false">C6+C7+C8+C9+C10+C11</f>
        <v>180.746563705263</v>
      </c>
      <c r="D12" s="48" t="n">
        <f aca="false">D6+D7+D8+D9+D10+D11</f>
        <v>132.608033705263</v>
      </c>
      <c r="E12" s="48" t="n">
        <f aca="false">E6+E7+E8+E9+E10+E11</f>
        <v>84.4309157052632</v>
      </c>
      <c r="F12" s="1" t="s">
        <v>340</v>
      </c>
    </row>
    <row r="13" customFormat="false" ht="15" hidden="false" customHeight="true" outlineLevel="0" collapsed="false">
      <c r="A13" s="1" t="s">
        <v>341</v>
      </c>
      <c r="B13" s="62" t="n">
        <f aca="false">B12/B6</f>
        <v>0.638962773889679</v>
      </c>
      <c r="C13" s="62" t="n">
        <f aca="false">C12/C6</f>
        <v>0.602890472665988</v>
      </c>
      <c r="D13" s="62" t="n">
        <f aca="false">D12/D6</f>
        <v>0.530644392578084</v>
      </c>
      <c r="E13" s="62" t="n">
        <f aca="false">E12/E6</f>
        <v>0.422239026331582</v>
      </c>
      <c r="F13" s="1" t="s">
        <v>342</v>
      </c>
    </row>
    <row r="14" customFormat="false" ht="15" hidden="false" customHeight="true" outlineLevel="0" collapsed="false">
      <c r="A14" s="58" t="s">
        <v>343</v>
      </c>
      <c r="B14" s="63" t="n">
        <f aca="false">B12*B5</f>
        <v>638.32381111579</v>
      </c>
      <c r="C14" s="63" t="n">
        <f aca="false">C12*C5</f>
        <v>903.732818526316</v>
      </c>
      <c r="D14" s="63" t="n">
        <f aca="false">D12*D5</f>
        <v>1326.08033705263</v>
      </c>
      <c r="E14" s="63" t="n">
        <f aca="false">E12*E5</f>
        <v>2110.77289263158</v>
      </c>
    </row>
    <row r="16" customFormat="false" ht="21.75" hidden="false" customHeight="true" outlineLevel="0" collapsed="false">
      <c r="A16" s="41" t="s">
        <v>344</v>
      </c>
      <c r="B16" s="41"/>
      <c r="C16" s="41"/>
      <c r="D16" s="41"/>
      <c r="E16" s="41"/>
      <c r="F16" s="41"/>
    </row>
    <row r="17" customFormat="false" ht="15" hidden="false" customHeight="true" outlineLevel="0" collapsed="false">
      <c r="A17" s="64" t="s">
        <v>345</v>
      </c>
      <c r="B17" s="65" t="n">
        <v>0.64</v>
      </c>
      <c r="C17" s="65" t="n">
        <v>0.53</v>
      </c>
      <c r="D17" s="65" t="n">
        <v>0.52</v>
      </c>
      <c r="E17" s="65" t="n">
        <v>0.52</v>
      </c>
      <c r="F17" s="66" t="s">
        <v>346</v>
      </c>
    </row>
    <row r="18" customFormat="false" ht="15" hidden="false" customHeight="true" outlineLevel="0" collapsed="false">
      <c r="A18" s="1" t="s">
        <v>347</v>
      </c>
      <c r="B18" s="62" t="n">
        <f aca="false">B13</f>
        <v>0.638962773889679</v>
      </c>
      <c r="C18" s="62" t="n">
        <f aca="false">C13</f>
        <v>0.602890472665988</v>
      </c>
      <c r="D18" s="62" t="n">
        <f aca="false">D13</f>
        <v>0.530644392578084</v>
      </c>
      <c r="E18" s="62" t="n">
        <f aca="false">E13</f>
        <v>0.422239026331582</v>
      </c>
      <c r="F18" s="1" t="s">
        <v>348</v>
      </c>
    </row>
    <row r="19" customFormat="false" ht="15" hidden="false" customHeight="true" outlineLevel="0" collapsed="false">
      <c r="A19" s="1" t="s">
        <v>349</v>
      </c>
      <c r="B19" s="67" t="n">
        <f aca="false">B18-B17</f>
        <v>-0.00103722611032087</v>
      </c>
      <c r="C19" s="67" t="n">
        <f aca="false">C18-C17</f>
        <v>0.0728904726659879</v>
      </c>
      <c r="D19" s="67" t="n">
        <f aca="false">D18-D17</f>
        <v>0.0106443925780839</v>
      </c>
      <c r="E19" s="67" t="n">
        <f aca="false">E18-E17</f>
        <v>-0.0977609736684179</v>
      </c>
      <c r="F19" s="1" t="s">
        <v>350</v>
      </c>
    </row>
    <row r="26" customFormat="false" ht="15" hidden="false" customHeight="true" outlineLevel="0" collapsed="false">
      <c r="A26" s="68" t="s">
        <v>351</v>
      </c>
      <c r="B26" s="68"/>
      <c r="C26" s="68"/>
      <c r="D26" s="68"/>
      <c r="E26" s="68"/>
      <c r="F26" s="68"/>
    </row>
    <row r="27" customFormat="false" ht="15" hidden="false" customHeight="true" outlineLevel="0" collapsed="false">
      <c r="A27" s="42" t="s">
        <v>352</v>
      </c>
      <c r="B27" s="42" t="s">
        <v>353</v>
      </c>
      <c r="C27" s="42" t="s">
        <v>354</v>
      </c>
      <c r="D27" s="42" t="s">
        <v>355</v>
      </c>
      <c r="E27" s="42" t="s">
        <v>356</v>
      </c>
      <c r="F27" s="42" t="s">
        <v>341</v>
      </c>
    </row>
    <row r="28" customFormat="false" ht="15" hidden="false" customHeight="true" outlineLevel="0" collapsed="false">
      <c r="A28" s="9" t="s">
        <v>357</v>
      </c>
      <c r="B28" s="32" t="n">
        <v>333</v>
      </c>
      <c r="C28" s="61" t="n">
        <f aca="false">'3. API Cost Reality'!$E$22</f>
        <v>56.3299578947368</v>
      </c>
      <c r="D28" s="53" t="n">
        <f aca="false">C28+B28*'2. Inputs'!$C$48+'4. Fixed Costs'!$B$12/100+'3. API Cost Reality'!$E$21*'2. Inputs'!$C$25</f>
        <v>120.225396294737</v>
      </c>
      <c r="E28" s="69" t="n">
        <f aca="false">B28-D28</f>
        <v>212.774603705263</v>
      </c>
      <c r="F28" s="70" t="n">
        <f aca="false">E28/B28</f>
        <v>0.638962773889679</v>
      </c>
    </row>
    <row r="29" customFormat="false" ht="15" hidden="false" customHeight="true" outlineLevel="0" collapsed="false">
      <c r="A29" s="9" t="s">
        <v>358</v>
      </c>
      <c r="B29" s="32" t="n">
        <v>299.8</v>
      </c>
      <c r="C29" s="61" t="n">
        <f aca="false">'3. API Cost Reality'!$E$22</f>
        <v>56.3299578947368</v>
      </c>
      <c r="D29" s="53" t="n">
        <f aca="false">C29+B29*'2. Inputs'!$C$48+'4. Fixed Costs'!$B$12/100+'3. API Cost Reality'!$E$21*'2. Inputs'!$C$25</f>
        <v>119.053436294737</v>
      </c>
      <c r="E29" s="69" t="n">
        <f aca="false">B29-D29</f>
        <v>180.746563705263</v>
      </c>
      <c r="F29" s="70" t="n">
        <f aca="false">E29/B29</f>
        <v>0.602890472665988</v>
      </c>
    </row>
    <row r="30" customFormat="false" ht="15" hidden="false" customHeight="true" outlineLevel="0" collapsed="false">
      <c r="A30" s="9" t="s">
        <v>359</v>
      </c>
      <c r="B30" s="32" t="n">
        <v>249.9</v>
      </c>
      <c r="C30" s="61" t="n">
        <f aca="false">'3. API Cost Reality'!$E$22</f>
        <v>56.3299578947368</v>
      </c>
      <c r="D30" s="53" t="n">
        <f aca="false">C30+B30*'2. Inputs'!$C$48+'4. Fixed Costs'!$B$12/100+'3. API Cost Reality'!$E$21*'2. Inputs'!$C$25</f>
        <v>117.291966294737</v>
      </c>
      <c r="E30" s="69" t="n">
        <f aca="false">B30-D30</f>
        <v>132.608033705263</v>
      </c>
      <c r="F30" s="70" t="n">
        <f aca="false">E30/B30</f>
        <v>0.530644392578084</v>
      </c>
    </row>
    <row r="32" customFormat="false" ht="15" hidden="false" customHeight="true" outlineLevel="0" collapsed="false">
      <c r="A32" s="71" t="s">
        <v>360</v>
      </c>
      <c r="B32" s="71"/>
      <c r="C32" s="71"/>
      <c r="D32" s="71"/>
      <c r="E32" s="71"/>
      <c r="F32" s="71"/>
    </row>
    <row r="33" customFormat="false" ht="15" hidden="false" customHeight="true" outlineLevel="0" collapsed="false">
      <c r="A33" s="39" t="s">
        <v>361</v>
      </c>
      <c r="B33" s="39"/>
      <c r="C33" s="39"/>
      <c r="D33" s="39"/>
      <c r="E33" s="39"/>
      <c r="F33" s="39"/>
    </row>
  </sheetData>
  <mergeCells count="5">
    <mergeCell ref="A1:H1"/>
    <mergeCell ref="A16:F16"/>
    <mergeCell ref="A26:F26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8"/>
  </cols>
  <sheetData>
    <row r="1" customFormat="false" ht="27.75" hidden="false" customHeight="true" outlineLevel="0" collapsed="false">
      <c r="A1" s="2" t="s">
        <v>362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1" t="s">
        <v>363</v>
      </c>
      <c r="B3" s="11"/>
      <c r="C3" s="11"/>
      <c r="D3" s="11"/>
      <c r="E3" s="11"/>
      <c r="F3" s="11"/>
    </row>
    <row r="5" customFormat="false" ht="15" hidden="false" customHeight="true" outlineLevel="0" collapsed="false">
      <c r="A5" s="42" t="s">
        <v>364</v>
      </c>
      <c r="B5" s="42" t="s">
        <v>365</v>
      </c>
      <c r="C5" s="42" t="s">
        <v>366</v>
      </c>
      <c r="D5" s="42" t="s">
        <v>367</v>
      </c>
      <c r="E5" s="42" t="s">
        <v>368</v>
      </c>
      <c r="F5" s="42" t="s">
        <v>369</v>
      </c>
      <c r="G5" s="42" t="s">
        <v>370</v>
      </c>
    </row>
    <row r="6" customFormat="false" ht="15" hidden="false" customHeight="true" outlineLevel="0" collapsed="false">
      <c r="A6" s="30" t="n">
        <v>10</v>
      </c>
      <c r="B6" s="60" t="n">
        <f aca="false">'2. Inputs'!$C$55</f>
        <v>1</v>
      </c>
      <c r="C6" s="61" t="n">
        <f aca="false">'3. API Cost Reality'!$E$21</f>
        <v>42.810768</v>
      </c>
      <c r="D6" s="44" t="n">
        <f aca="false">A6*B6*C6</f>
        <v>428.10768</v>
      </c>
      <c r="E6" s="33" t="n">
        <v>0.1</v>
      </c>
      <c r="F6" s="72" t="n">
        <f aca="false">A6*E6</f>
        <v>1</v>
      </c>
      <c r="G6" s="44" t="n">
        <f aca="false">IF(F6=0,0,D6/F6)</f>
        <v>428.10768</v>
      </c>
    </row>
    <row r="7" customFormat="false" ht="15" hidden="false" customHeight="true" outlineLevel="0" collapsed="false">
      <c r="A7" s="30" t="n">
        <v>50</v>
      </c>
      <c r="B7" s="60" t="n">
        <f aca="false">'2. Inputs'!$C$55</f>
        <v>1</v>
      </c>
      <c r="C7" s="61" t="n">
        <f aca="false">'3. API Cost Reality'!$E$21</f>
        <v>42.810768</v>
      </c>
      <c r="D7" s="44" t="n">
        <f aca="false">A7*B7*C7</f>
        <v>2140.5384</v>
      </c>
      <c r="E7" s="33" t="n">
        <v>0.2</v>
      </c>
      <c r="F7" s="72" t="n">
        <f aca="false">A7*E7</f>
        <v>10</v>
      </c>
      <c r="G7" s="44" t="n">
        <f aca="false">IF(F7=0,0,D7/F7)</f>
        <v>214.05384</v>
      </c>
    </row>
    <row r="8" customFormat="false" ht="15" hidden="false" customHeight="true" outlineLevel="0" collapsed="false">
      <c r="A8" s="30" t="n">
        <v>50</v>
      </c>
      <c r="B8" s="60" t="n">
        <f aca="false">'2. Inputs'!$C$55</f>
        <v>1</v>
      </c>
      <c r="C8" s="61" t="n">
        <f aca="false">'3. API Cost Reality'!$E$21</f>
        <v>42.810768</v>
      </c>
      <c r="D8" s="44" t="n">
        <f aca="false">A8*B8*C8</f>
        <v>2140.5384</v>
      </c>
      <c r="E8" s="33" t="n">
        <v>0.3</v>
      </c>
      <c r="F8" s="72" t="n">
        <f aca="false">A8*E8</f>
        <v>15</v>
      </c>
      <c r="G8" s="44" t="n">
        <f aca="false">IF(F8=0,0,D8/F8)</f>
        <v>142.70256</v>
      </c>
    </row>
    <row r="9" customFormat="false" ht="15" hidden="false" customHeight="true" outlineLevel="0" collapsed="false">
      <c r="A9" s="30" t="n">
        <v>100</v>
      </c>
      <c r="B9" s="60" t="n">
        <f aca="false">'2. Inputs'!$C$55</f>
        <v>1</v>
      </c>
      <c r="C9" s="61" t="n">
        <f aca="false">'3. API Cost Reality'!$E$21</f>
        <v>42.810768</v>
      </c>
      <c r="D9" s="44" t="n">
        <f aca="false">A9*B9*C9</f>
        <v>4281.0768</v>
      </c>
      <c r="E9" s="33" t="n">
        <v>0.2</v>
      </c>
      <c r="F9" s="72" t="n">
        <f aca="false">A9*E9</f>
        <v>20</v>
      </c>
      <c r="G9" s="44" t="n">
        <f aca="false">IF(F9=0,0,D9/F9)</f>
        <v>214.05384</v>
      </c>
    </row>
    <row r="10" customFormat="false" ht="15" hidden="false" customHeight="true" outlineLevel="0" collapsed="false">
      <c r="A10" s="30" t="n">
        <v>100</v>
      </c>
      <c r="B10" s="60" t="n">
        <f aca="false">'2. Inputs'!$C$55</f>
        <v>1</v>
      </c>
      <c r="C10" s="61" t="n">
        <f aca="false">'3. API Cost Reality'!$E$21</f>
        <v>42.810768</v>
      </c>
      <c r="D10" s="44" t="n">
        <f aca="false">A10*B10*C10</f>
        <v>4281.0768</v>
      </c>
      <c r="E10" s="33" t="n">
        <v>0.3</v>
      </c>
      <c r="F10" s="72" t="n">
        <f aca="false">A10*E10</f>
        <v>30</v>
      </c>
      <c r="G10" s="44" t="n">
        <f aca="false">IF(F10=0,0,D10/F10)</f>
        <v>142.70256</v>
      </c>
    </row>
    <row r="11" customFormat="false" ht="15" hidden="false" customHeight="true" outlineLevel="0" collapsed="false">
      <c r="A11" s="30" t="n">
        <v>100</v>
      </c>
      <c r="B11" s="60" t="n">
        <f aca="false">'2. Inputs'!$C$55</f>
        <v>1</v>
      </c>
      <c r="C11" s="61" t="n">
        <f aca="false">'3. API Cost Reality'!$E$21</f>
        <v>42.810768</v>
      </c>
      <c r="D11" s="44" t="n">
        <f aca="false">A11*B11*C11</f>
        <v>4281.0768</v>
      </c>
      <c r="E11" s="33" t="n">
        <v>0.5</v>
      </c>
      <c r="F11" s="72" t="n">
        <f aca="false">A11*E11</f>
        <v>50</v>
      </c>
      <c r="G11" s="44" t="n">
        <f aca="false">IF(F11=0,0,D11/F11)</f>
        <v>85.621536</v>
      </c>
    </row>
    <row r="12" customFormat="false" ht="15" hidden="false" customHeight="true" outlineLevel="0" collapsed="false">
      <c r="A12" s="30" t="n">
        <v>500</v>
      </c>
      <c r="B12" s="60" t="n">
        <f aca="false">'2. Inputs'!$C$55</f>
        <v>1</v>
      </c>
      <c r="C12" s="61" t="n">
        <f aca="false">'3. API Cost Reality'!$E$21</f>
        <v>42.810768</v>
      </c>
      <c r="D12" s="44" t="n">
        <f aca="false">A12*B12*C12</f>
        <v>21405.384</v>
      </c>
      <c r="E12" s="33" t="n">
        <v>0.2</v>
      </c>
      <c r="F12" s="72" t="n">
        <f aca="false">A12*E12</f>
        <v>100</v>
      </c>
      <c r="G12" s="44" t="n">
        <f aca="false">IF(F12=0,0,D12/F12)</f>
        <v>214.05384</v>
      </c>
    </row>
    <row r="13" customFormat="false" ht="15" hidden="false" customHeight="true" outlineLevel="0" collapsed="false">
      <c r="A13" s="30" t="n">
        <v>500</v>
      </c>
      <c r="B13" s="60" t="n">
        <f aca="false">'2. Inputs'!$C$55</f>
        <v>1</v>
      </c>
      <c r="C13" s="61" t="n">
        <f aca="false">'3. API Cost Reality'!$E$21</f>
        <v>42.810768</v>
      </c>
      <c r="D13" s="44" t="n">
        <f aca="false">A13*B13*C13</f>
        <v>21405.384</v>
      </c>
      <c r="E13" s="33" t="n">
        <v>0.3</v>
      </c>
      <c r="F13" s="72" t="n">
        <f aca="false">A13*E13</f>
        <v>150</v>
      </c>
      <c r="G13" s="44" t="n">
        <f aca="false">IF(F13=0,0,D13/F13)</f>
        <v>142.70256</v>
      </c>
    </row>
    <row r="16" customFormat="false" ht="21.75" hidden="false" customHeight="true" outlineLevel="0" collapsed="false">
      <c r="A16" s="41" t="s">
        <v>278</v>
      </c>
      <c r="B16" s="41"/>
      <c r="C16" s="41"/>
      <c r="D16" s="41"/>
      <c r="E16" s="41"/>
      <c r="F16" s="41"/>
    </row>
    <row r="17" customFormat="false" ht="15" hidden="false" customHeight="true" outlineLevel="0" collapsed="false">
      <c r="A17" s="9" t="s">
        <v>371</v>
      </c>
    </row>
    <row r="18" customFormat="false" ht="15" hidden="false" customHeight="true" outlineLevel="0" collapsed="false">
      <c r="A18" s="10" t="s">
        <v>372</v>
      </c>
    </row>
    <row r="19" customFormat="false" ht="15" hidden="false" customHeight="true" outlineLevel="0" collapsed="false">
      <c r="A19" s="73" t="s">
        <v>373</v>
      </c>
    </row>
    <row r="21" customFormat="false" ht="15" hidden="false" customHeight="true" outlineLevel="0" collapsed="false">
      <c r="A21" s="9" t="s">
        <v>374</v>
      </c>
    </row>
    <row r="22" customFormat="false" ht="15" hidden="false" customHeight="true" outlineLevel="0" collapsed="false">
      <c r="A22" s="10" t="s">
        <v>375</v>
      </c>
      <c r="B22" s="44" t="n">
        <f aca="false">'2. Inputs'!$C$66*'2. Inputs'!$C$65</f>
        <v>2000</v>
      </c>
    </row>
    <row r="23" customFormat="false" ht="15" hidden="false" customHeight="true" outlineLevel="0" collapsed="false">
      <c r="A23" s="73" t="s">
        <v>376</v>
      </c>
      <c r="B23" s="74" t="n">
        <f aca="false">B22+(B14)</f>
        <v>2000</v>
      </c>
    </row>
  </sheetData>
  <mergeCells count="3">
    <mergeCell ref="A1:F1"/>
    <mergeCell ref="A3:F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2"/>
  </cols>
  <sheetData>
    <row r="1" customFormat="false" ht="27.75" hidden="false" customHeight="true" outlineLevel="0" collapsed="false">
      <c r="A1" s="2" t="s">
        <v>377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24" hidden="false" customHeight="true" outlineLevel="0" collapsed="false">
      <c r="A3" s="75" t="s">
        <v>378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customFormat="false" ht="15" hidden="false" customHeight="true" outlineLevel="0" collapsed="false">
      <c r="A4" s="9" t="s">
        <v>379</v>
      </c>
      <c r="B4" s="76" t="s">
        <v>380</v>
      </c>
      <c r="C4" s="76" t="s">
        <v>381</v>
      </c>
      <c r="D4" s="76" t="s">
        <v>382</v>
      </c>
      <c r="E4" s="76" t="s">
        <v>383</v>
      </c>
      <c r="F4" s="76" t="s">
        <v>384</v>
      </c>
      <c r="G4" s="76" t="s">
        <v>385</v>
      </c>
      <c r="H4" s="76" t="s">
        <v>386</v>
      </c>
      <c r="I4" s="76" t="s">
        <v>387</v>
      </c>
      <c r="J4" s="76" t="s">
        <v>388</v>
      </c>
      <c r="K4" s="76" t="s">
        <v>389</v>
      </c>
      <c r="L4" s="76" t="s">
        <v>390</v>
      </c>
      <c r="M4" s="76" t="s">
        <v>391</v>
      </c>
      <c r="N4" s="42" t="s">
        <v>392</v>
      </c>
    </row>
    <row r="5" customFormat="false" ht="15" hidden="false" customHeight="true" outlineLevel="0" collapsed="false">
      <c r="A5" s="10" t="s">
        <v>393</v>
      </c>
      <c r="B5" s="30" t="n">
        <v>1</v>
      </c>
      <c r="C5" s="30" t="n">
        <v>1</v>
      </c>
      <c r="D5" s="30" t="n">
        <v>2</v>
      </c>
      <c r="E5" s="30" t="n">
        <v>3</v>
      </c>
      <c r="F5" s="30" t="n">
        <v>4</v>
      </c>
      <c r="G5" s="30" t="n">
        <v>5</v>
      </c>
      <c r="H5" s="30" t="n">
        <v>7</v>
      </c>
      <c r="I5" s="30" t="n">
        <v>9</v>
      </c>
      <c r="J5" s="30" t="n">
        <v>11</v>
      </c>
      <c r="K5" s="30" t="n">
        <v>13</v>
      </c>
      <c r="L5" s="30" t="n">
        <v>16</v>
      </c>
      <c r="M5" s="30" t="n">
        <v>20</v>
      </c>
      <c r="N5" s="77" t="n">
        <f aca="false">AVERAGE(B5:M5)</f>
        <v>7.66666666666667</v>
      </c>
    </row>
    <row r="6" customFormat="false" ht="15" hidden="false" customHeight="true" outlineLevel="0" collapsed="false">
      <c r="A6" s="10" t="s">
        <v>394</v>
      </c>
      <c r="B6" s="72" t="n">
        <f aca="false">B5*0+B5*'2. Inputs'!$C$54</f>
        <v>12</v>
      </c>
      <c r="C6" s="72" t="n">
        <f aca="false">B5*0+C5*'2. Inputs'!$C$54</f>
        <v>12</v>
      </c>
      <c r="D6" s="72" t="n">
        <f aca="false">B5*0+D5*'2. Inputs'!$C$54</f>
        <v>24</v>
      </c>
      <c r="E6" s="72" t="n">
        <f aca="false">B5*0+E5*'2. Inputs'!$C$54</f>
        <v>36</v>
      </c>
      <c r="F6" s="72" t="n">
        <f aca="false">B5*0+F5*'2. Inputs'!$C$54</f>
        <v>48</v>
      </c>
      <c r="G6" s="72" t="n">
        <f aca="false">B5*0+G5*'2. Inputs'!$C$54</f>
        <v>60</v>
      </c>
      <c r="H6" s="72" t="n">
        <f aca="false">B5*0+H5*'2. Inputs'!$C$54</f>
        <v>84</v>
      </c>
      <c r="I6" s="72" t="n">
        <f aca="false">B5*0+I5*'2. Inputs'!$C$54</f>
        <v>108</v>
      </c>
      <c r="J6" s="72" t="n">
        <f aca="false">B5*0+J5*'2. Inputs'!$C$54</f>
        <v>132</v>
      </c>
      <c r="K6" s="72" t="n">
        <f aca="false">B5*0+K5*'2. Inputs'!$C$54</f>
        <v>156</v>
      </c>
      <c r="L6" s="72" t="n">
        <f aca="false">B5*0+L5*'2. Inputs'!$C$54</f>
        <v>192</v>
      </c>
      <c r="M6" s="72" t="n">
        <f aca="false">B5*0+M5*'2. Inputs'!$C$54</f>
        <v>240</v>
      </c>
      <c r="N6" s="78" t="n">
        <f aca="false">SUM(B6:M6)</f>
        <v>1104</v>
      </c>
    </row>
    <row r="7" customFormat="false" ht="15" hidden="false" customHeight="true" outlineLevel="0" collapsed="false">
      <c r="A7" s="10" t="s">
        <v>395</v>
      </c>
      <c r="B7" s="61" t="n">
        <f aca="false">'5. Unit Economics'!$B$6*'2. Inputs'!$C$58+'5. Unit Economics'!$C$6*'2. Inputs'!$C$59+'5. Unit Economics'!$D$6*'2. Inputs'!$C$60+'5. Unit Economics'!$E$6*'2. Inputs'!$C$61</f>
        <v>303.1</v>
      </c>
      <c r="C7" s="61" t="n">
        <f aca="false">'5. Unit Economics'!$B$6*'2. Inputs'!$C$58+'5. Unit Economics'!$C$6*'2. Inputs'!$C$59+'5. Unit Economics'!$D$6*'2. Inputs'!$C$60+'5. Unit Economics'!$E$6*'2. Inputs'!$C$61</f>
        <v>303.1</v>
      </c>
      <c r="D7" s="61" t="n">
        <f aca="false">'5. Unit Economics'!$B$6*'2. Inputs'!$C$58+'5. Unit Economics'!$C$6*'2. Inputs'!$C$59+'5. Unit Economics'!$D$6*'2. Inputs'!$C$60+'5. Unit Economics'!$E$6*'2. Inputs'!$C$61</f>
        <v>303.1</v>
      </c>
      <c r="E7" s="61" t="n">
        <f aca="false">'5. Unit Economics'!$B$6*'2. Inputs'!$C$58+'5. Unit Economics'!$C$6*'2. Inputs'!$C$59+'5. Unit Economics'!$D$6*'2. Inputs'!$C$60+'5. Unit Economics'!$E$6*'2. Inputs'!$C$61</f>
        <v>303.1</v>
      </c>
      <c r="F7" s="61" t="n">
        <f aca="false">'5. Unit Economics'!$B$6*'2. Inputs'!$C$58+'5. Unit Economics'!$C$6*'2. Inputs'!$C$59+'5. Unit Economics'!$D$6*'2. Inputs'!$C$60+'5. Unit Economics'!$E$6*'2. Inputs'!$C$61</f>
        <v>303.1</v>
      </c>
      <c r="G7" s="61" t="n">
        <f aca="false">'5. Unit Economics'!$B$6*'2. Inputs'!$C$58+'5. Unit Economics'!$C$6*'2. Inputs'!$C$59+'5. Unit Economics'!$D$6*'2. Inputs'!$C$60+'5. Unit Economics'!$E$6*'2. Inputs'!$C$61</f>
        <v>303.1</v>
      </c>
      <c r="H7" s="61" t="n">
        <f aca="false">'5. Unit Economics'!$B$6*'2. Inputs'!$C$58+'5. Unit Economics'!$C$6*'2. Inputs'!$C$59+'5. Unit Economics'!$D$6*'2. Inputs'!$C$60+'5. Unit Economics'!$E$6*'2. Inputs'!$C$61</f>
        <v>303.1</v>
      </c>
      <c r="I7" s="61" t="n">
        <f aca="false">'5. Unit Economics'!$B$6*'2. Inputs'!$C$58+'5. Unit Economics'!$C$6*'2. Inputs'!$C$59+'5. Unit Economics'!$D$6*'2. Inputs'!$C$60+'5. Unit Economics'!$E$6*'2. Inputs'!$C$61</f>
        <v>303.1</v>
      </c>
      <c r="J7" s="61" t="n">
        <f aca="false">'5. Unit Economics'!$B$6*'2. Inputs'!$C$58+'5. Unit Economics'!$C$6*'2. Inputs'!$C$59+'5. Unit Economics'!$D$6*'2. Inputs'!$C$60+'5. Unit Economics'!$E$6*'2. Inputs'!$C$61</f>
        <v>303.1</v>
      </c>
      <c r="K7" s="61" t="n">
        <f aca="false">'5. Unit Economics'!$B$6*'2. Inputs'!$C$58+'5. Unit Economics'!$C$6*'2. Inputs'!$C$59+'5. Unit Economics'!$D$6*'2. Inputs'!$C$60+'5. Unit Economics'!$E$6*'2. Inputs'!$C$61</f>
        <v>303.1</v>
      </c>
      <c r="L7" s="61" t="n">
        <f aca="false">'5. Unit Economics'!$B$6*'2. Inputs'!$C$58+'5. Unit Economics'!$C$6*'2. Inputs'!$C$59+'5. Unit Economics'!$D$6*'2. Inputs'!$C$60+'5. Unit Economics'!$E$6*'2. Inputs'!$C$61</f>
        <v>303.1</v>
      </c>
      <c r="M7" s="61" t="n">
        <f aca="false">'5. Unit Economics'!$B$6*'2. Inputs'!$C$58+'5. Unit Economics'!$C$6*'2. Inputs'!$C$59+'5. Unit Economics'!$D$6*'2. Inputs'!$C$60+'5. Unit Economics'!$E$6*'2. Inputs'!$C$61</f>
        <v>303.1</v>
      </c>
      <c r="N7" s="61" t="n">
        <f aca="false">B7</f>
        <v>303.1</v>
      </c>
    </row>
    <row r="8" customFormat="false" ht="15" hidden="false" customHeight="true" outlineLevel="0" collapsed="false">
      <c r="A8" s="10" t="s">
        <v>396</v>
      </c>
      <c r="B8" s="44" t="n">
        <f aca="false">B6*B7</f>
        <v>3637.2</v>
      </c>
      <c r="C8" s="44" t="n">
        <f aca="false">C6*C7</f>
        <v>3637.2</v>
      </c>
      <c r="D8" s="44" t="n">
        <f aca="false">D6*D7</f>
        <v>7274.4</v>
      </c>
      <c r="E8" s="44" t="n">
        <f aca="false">E6*E7</f>
        <v>10911.6</v>
      </c>
      <c r="F8" s="44" t="n">
        <f aca="false">F6*F7</f>
        <v>14548.8</v>
      </c>
      <c r="G8" s="44" t="n">
        <f aca="false">G6*G7</f>
        <v>18186</v>
      </c>
      <c r="H8" s="44" t="n">
        <f aca="false">H6*H7</f>
        <v>25460.4</v>
      </c>
      <c r="I8" s="44" t="n">
        <f aca="false">I6*I7</f>
        <v>32734.8</v>
      </c>
      <c r="J8" s="44" t="n">
        <f aca="false">J6*J7</f>
        <v>40009.2</v>
      </c>
      <c r="K8" s="44" t="n">
        <f aca="false">K6*K7</f>
        <v>47283.6</v>
      </c>
      <c r="L8" s="44" t="n">
        <f aca="false">L6*L7</f>
        <v>58195.2</v>
      </c>
      <c r="M8" s="44" t="n">
        <f aca="false">M6*M7</f>
        <v>72744</v>
      </c>
      <c r="N8" s="79" t="n">
        <f aca="false">SUM(B8:M8)</f>
        <v>334622.4</v>
      </c>
    </row>
    <row r="9" customFormat="false" ht="15" hidden="false" customHeight="true" outlineLevel="0" collapsed="false">
      <c r="A9" s="10" t="s">
        <v>397</v>
      </c>
      <c r="B9" s="55" t="n">
        <f aca="false">B6*'3. API Cost Reality'!$E$22</f>
        <v>675.959494736842</v>
      </c>
      <c r="C9" s="55" t="n">
        <f aca="false">C6*'3. API Cost Reality'!$E$22</f>
        <v>675.959494736842</v>
      </c>
      <c r="D9" s="55" t="n">
        <f aca="false">D6*'3. API Cost Reality'!$E$22</f>
        <v>1351.91898947368</v>
      </c>
      <c r="E9" s="55" t="n">
        <f aca="false">E6*'3. API Cost Reality'!$E$22</f>
        <v>2027.87848421053</v>
      </c>
      <c r="F9" s="55" t="n">
        <f aca="false">F6*'3. API Cost Reality'!$E$22</f>
        <v>2703.83797894737</v>
      </c>
      <c r="G9" s="55" t="n">
        <f aca="false">G6*'3. API Cost Reality'!$E$22</f>
        <v>3379.79747368421</v>
      </c>
      <c r="H9" s="55" t="n">
        <f aca="false">H6*'3. API Cost Reality'!$E$22</f>
        <v>4731.71646315789</v>
      </c>
      <c r="I9" s="55" t="n">
        <f aca="false">I6*'3. API Cost Reality'!$E$22</f>
        <v>6083.63545263158</v>
      </c>
      <c r="J9" s="55" t="n">
        <f aca="false">J6*'3. API Cost Reality'!$E$22</f>
        <v>7435.55444210526</v>
      </c>
      <c r="K9" s="55" t="n">
        <f aca="false">K6*'3. API Cost Reality'!$E$22</f>
        <v>8787.47343157895</v>
      </c>
      <c r="L9" s="55" t="n">
        <f aca="false">L6*'3. API Cost Reality'!$E$22</f>
        <v>10815.3519157895</v>
      </c>
      <c r="M9" s="55" t="n">
        <f aca="false">M6*'3. API Cost Reality'!$E$22</f>
        <v>13519.1898947368</v>
      </c>
      <c r="N9" s="79" t="n">
        <f aca="false">SUM(B9:M9)</f>
        <v>62188.2735157895</v>
      </c>
    </row>
    <row r="10" customFormat="false" ht="15" hidden="false" customHeight="true" outlineLevel="0" collapsed="false">
      <c r="A10" s="10" t="s">
        <v>398</v>
      </c>
      <c r="B10" s="55" t="n">
        <f aca="false">B8*'2. Inputs'!$C$48</f>
        <v>128.39316</v>
      </c>
      <c r="C10" s="55" t="n">
        <f aca="false">C8*'2. Inputs'!$C$48</f>
        <v>128.39316</v>
      </c>
      <c r="D10" s="55" t="n">
        <f aca="false">D8*'2. Inputs'!$C$48</f>
        <v>256.78632</v>
      </c>
      <c r="E10" s="55" t="n">
        <f aca="false">E8*'2. Inputs'!$C$48</f>
        <v>385.17948</v>
      </c>
      <c r="F10" s="55" t="n">
        <f aca="false">F8*'2. Inputs'!$C$48</f>
        <v>513.57264</v>
      </c>
      <c r="G10" s="55" t="n">
        <f aca="false">G8*'2. Inputs'!$C$48</f>
        <v>641.9658</v>
      </c>
      <c r="H10" s="55" t="n">
        <f aca="false">H8*'2. Inputs'!$C$48</f>
        <v>898.75212</v>
      </c>
      <c r="I10" s="55" t="n">
        <f aca="false">I8*'2. Inputs'!$C$48</f>
        <v>1155.53844</v>
      </c>
      <c r="J10" s="55" t="n">
        <f aca="false">J8*'2. Inputs'!$C$48</f>
        <v>1412.32476</v>
      </c>
      <c r="K10" s="55" t="n">
        <f aca="false">K8*'2. Inputs'!$C$48</f>
        <v>1669.11108</v>
      </c>
      <c r="L10" s="55" t="n">
        <f aca="false">L8*'2. Inputs'!$C$48</f>
        <v>2054.29056</v>
      </c>
      <c r="M10" s="55" t="n">
        <f aca="false">M8*'2. Inputs'!$C$48</f>
        <v>2567.8632</v>
      </c>
      <c r="N10" s="79" t="n">
        <f aca="false">SUM(B10:M10)</f>
        <v>11812.17072</v>
      </c>
    </row>
    <row r="11" customFormat="false" ht="15" hidden="false" customHeight="true" outlineLevel="0" collapsed="false">
      <c r="A11" s="10" t="s">
        <v>399</v>
      </c>
      <c r="B11" s="55" t="n">
        <f aca="false">B8*'2. Inputs'!$C$50/(1+'2. Inputs'!$C$50)*'2. Inputs'!$C$49</f>
        <v>0</v>
      </c>
      <c r="C11" s="55" t="n">
        <f aca="false">C8*'2. Inputs'!$C$50/(1+'2. Inputs'!$C$50)*'2. Inputs'!$C$49</f>
        <v>0</v>
      </c>
      <c r="D11" s="55" t="n">
        <f aca="false">D8*'2. Inputs'!$C$50/(1+'2. Inputs'!$C$50)*'2. Inputs'!$C$49</f>
        <v>0</v>
      </c>
      <c r="E11" s="55" t="n">
        <f aca="false">E8*'2. Inputs'!$C$50/(1+'2. Inputs'!$C$50)*'2. Inputs'!$C$49</f>
        <v>0</v>
      </c>
      <c r="F11" s="55" t="n">
        <f aca="false">F8*'2. Inputs'!$C$50/(1+'2. Inputs'!$C$50)*'2. Inputs'!$C$49</f>
        <v>0</v>
      </c>
      <c r="G11" s="55" t="n">
        <f aca="false">G8*'2. Inputs'!$C$50/(1+'2. Inputs'!$C$50)*'2. Inputs'!$C$49</f>
        <v>0</v>
      </c>
      <c r="H11" s="55" t="n">
        <f aca="false">H8*'2. Inputs'!$C$50/(1+'2. Inputs'!$C$50)*'2. Inputs'!$C$49</f>
        <v>0</v>
      </c>
      <c r="I11" s="55" t="n">
        <f aca="false">I8*'2. Inputs'!$C$50/(1+'2. Inputs'!$C$50)*'2. Inputs'!$C$49</f>
        <v>0</v>
      </c>
      <c r="J11" s="55" t="n">
        <f aca="false">J8*'2. Inputs'!$C$50/(1+'2. Inputs'!$C$50)*'2. Inputs'!$C$49</f>
        <v>0</v>
      </c>
      <c r="K11" s="55" t="n">
        <f aca="false">K8*'2. Inputs'!$C$50/(1+'2. Inputs'!$C$50)*'2. Inputs'!$C$49</f>
        <v>0</v>
      </c>
      <c r="L11" s="55" t="n">
        <f aca="false">L8*'2. Inputs'!$C$50/(1+'2. Inputs'!$C$50)*'2. Inputs'!$C$49</f>
        <v>0</v>
      </c>
      <c r="M11" s="55" t="n">
        <f aca="false">M8*'2. Inputs'!$C$50/(1+'2. Inputs'!$C$50)*'2. Inputs'!$C$49</f>
        <v>0</v>
      </c>
      <c r="N11" s="79" t="n">
        <f aca="false">SUM(B11:M11)</f>
        <v>0</v>
      </c>
    </row>
    <row r="12" customFormat="false" ht="15" hidden="false" customHeight="true" outlineLevel="0" collapsed="false">
      <c r="A12" s="10" t="s">
        <v>400</v>
      </c>
      <c r="B12" s="55" t="n">
        <f aca="false">'4. Fixed Costs'!$B$12</f>
        <v>5000</v>
      </c>
      <c r="C12" s="55" t="n">
        <f aca="false">'4. Fixed Costs'!$B$12</f>
        <v>5000</v>
      </c>
      <c r="D12" s="55" t="n">
        <f aca="false">'4. Fixed Costs'!$B$12</f>
        <v>5000</v>
      </c>
      <c r="E12" s="55" t="n">
        <f aca="false">'4. Fixed Costs'!$B$12</f>
        <v>5000</v>
      </c>
      <c r="F12" s="55" t="n">
        <f aca="false">'4. Fixed Costs'!$B$12</f>
        <v>5000</v>
      </c>
      <c r="G12" s="55" t="n">
        <f aca="false">'4. Fixed Costs'!$B$12</f>
        <v>5000</v>
      </c>
      <c r="H12" s="55" t="n">
        <f aca="false">'4. Fixed Costs'!$B$12</f>
        <v>5000</v>
      </c>
      <c r="I12" s="55" t="n">
        <f aca="false">'4. Fixed Costs'!$B$12</f>
        <v>5000</v>
      </c>
      <c r="J12" s="55" t="n">
        <f aca="false">'4. Fixed Costs'!$B$12</f>
        <v>5000</v>
      </c>
      <c r="K12" s="55" t="n">
        <f aca="false">'4. Fixed Costs'!$B$12</f>
        <v>5000</v>
      </c>
      <c r="L12" s="55" t="n">
        <f aca="false">'4. Fixed Costs'!$B$12</f>
        <v>5000</v>
      </c>
      <c r="M12" s="55" t="n">
        <f aca="false">'4. Fixed Costs'!$B$12</f>
        <v>5000</v>
      </c>
      <c r="N12" s="79" t="n">
        <f aca="false">SUM(B12:M12)</f>
        <v>60000</v>
      </c>
    </row>
    <row r="13" customFormat="false" ht="15" hidden="false" customHeight="true" outlineLevel="0" collapsed="false">
      <c r="A13" s="56" t="s">
        <v>401</v>
      </c>
      <c r="B13" s="57" t="n">
        <f aca="false">B8-B9-B10-B11-B12</f>
        <v>-2167.15265473684</v>
      </c>
      <c r="C13" s="57" t="n">
        <f aca="false">C8-C9-C10-C11-C12</f>
        <v>-2167.15265473684</v>
      </c>
      <c r="D13" s="57" t="n">
        <f aca="false">D8-D9-D10-D11-D12</f>
        <v>665.694690526317</v>
      </c>
      <c r="E13" s="57" t="n">
        <f aca="false">E8-E9-E10-E11-E12</f>
        <v>3498.54203578947</v>
      </c>
      <c r="F13" s="57" t="n">
        <f aca="false">F8-F9-F10-F11-F12</f>
        <v>6331.38938105263</v>
      </c>
      <c r="G13" s="57" t="n">
        <f aca="false">G8-G9-G10-G11-G12</f>
        <v>9164.23672631579</v>
      </c>
      <c r="H13" s="57" t="n">
        <f aca="false">H8-H9-H10-H11-H12</f>
        <v>14829.9314168421</v>
      </c>
      <c r="I13" s="57" t="n">
        <f aca="false">I8-I9-I10-I11-I12</f>
        <v>20495.6261073684</v>
      </c>
      <c r="J13" s="57" t="n">
        <f aca="false">J8-J9-J10-J11-J12</f>
        <v>26161.3207978947</v>
      </c>
      <c r="K13" s="57" t="n">
        <f aca="false">K8-K9-K10-K11-K12</f>
        <v>31827.0154884211</v>
      </c>
      <c r="L13" s="57" t="n">
        <f aca="false">L8-L9-L10-L11-L12</f>
        <v>40325.5575242105</v>
      </c>
      <c r="M13" s="57" t="n">
        <f aca="false">M8-M9-M10-M11-M12</f>
        <v>51656.9469052632</v>
      </c>
      <c r="N13" s="57" t="n">
        <f aca="false">SUM(B13:M13)</f>
        <v>200621.955764211</v>
      </c>
    </row>
    <row r="14" customFormat="false" ht="15" hidden="false" customHeight="true" outlineLevel="0" collapsed="false">
      <c r="A14" s="9" t="s">
        <v>402</v>
      </c>
      <c r="B14" s="79" t="n">
        <f aca="false">B13</f>
        <v>-2167.15265473684</v>
      </c>
      <c r="C14" s="79" t="n">
        <f aca="false">B14+C13</f>
        <v>-4334.30530947368</v>
      </c>
      <c r="D14" s="79" t="n">
        <f aca="false">C14+D13</f>
        <v>-3668.61061894737</v>
      </c>
      <c r="E14" s="79" t="n">
        <f aca="false">D14+E13</f>
        <v>-170.068583157892</v>
      </c>
      <c r="F14" s="79" t="n">
        <f aca="false">E14+F13</f>
        <v>6161.32079789474</v>
      </c>
      <c r="G14" s="79" t="n">
        <f aca="false">F14+G13</f>
        <v>15325.5575242105</v>
      </c>
      <c r="H14" s="79" t="n">
        <f aca="false">G14+H13</f>
        <v>30155.4889410526</v>
      </c>
      <c r="I14" s="79" t="n">
        <f aca="false">H14+I13</f>
        <v>50651.1150484211</v>
      </c>
      <c r="J14" s="79" t="n">
        <f aca="false">I14+J13</f>
        <v>76812.4358463158</v>
      </c>
      <c r="K14" s="79" t="n">
        <f aca="false">J14+K13</f>
        <v>108639.451334737</v>
      </c>
      <c r="L14" s="79" t="n">
        <f aca="false">K14+L13</f>
        <v>148965.008858947</v>
      </c>
      <c r="M14" s="79" t="n">
        <f aca="false">L14+M13</f>
        <v>200621.955764211</v>
      </c>
      <c r="N14" s="79" t="n">
        <f aca="false">M14</f>
        <v>200621.955764211</v>
      </c>
    </row>
    <row r="16" customFormat="false" ht="24" hidden="false" customHeight="true" outlineLevel="0" collapsed="false">
      <c r="A16" s="80" t="s">
        <v>403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</row>
    <row r="17" customFormat="false" ht="15" hidden="false" customHeight="true" outlineLevel="0" collapsed="false">
      <c r="A17" s="9" t="s">
        <v>379</v>
      </c>
      <c r="B17" s="76" t="s">
        <v>380</v>
      </c>
      <c r="C17" s="76" t="s">
        <v>381</v>
      </c>
      <c r="D17" s="76" t="s">
        <v>382</v>
      </c>
      <c r="E17" s="76" t="s">
        <v>383</v>
      </c>
      <c r="F17" s="76" t="s">
        <v>384</v>
      </c>
      <c r="G17" s="76" t="s">
        <v>385</v>
      </c>
      <c r="H17" s="76" t="s">
        <v>386</v>
      </c>
      <c r="I17" s="76" t="s">
        <v>387</v>
      </c>
      <c r="J17" s="76" t="s">
        <v>388</v>
      </c>
      <c r="K17" s="76" t="s">
        <v>389</v>
      </c>
      <c r="L17" s="76" t="s">
        <v>390</v>
      </c>
      <c r="M17" s="76" t="s">
        <v>391</v>
      </c>
      <c r="N17" s="42" t="s">
        <v>392</v>
      </c>
    </row>
    <row r="18" customFormat="false" ht="15" hidden="false" customHeight="true" outlineLevel="0" collapsed="false">
      <c r="A18" s="10" t="s">
        <v>393</v>
      </c>
      <c r="B18" s="30" t="n">
        <v>1</v>
      </c>
      <c r="C18" s="30" t="n">
        <v>2</v>
      </c>
      <c r="D18" s="30" t="n">
        <v>4</v>
      </c>
      <c r="E18" s="30" t="n">
        <v>6</v>
      </c>
      <c r="F18" s="30" t="n">
        <v>9</v>
      </c>
      <c r="G18" s="30" t="n">
        <v>12</v>
      </c>
      <c r="H18" s="30" t="n">
        <v>16</v>
      </c>
      <c r="I18" s="30" t="n">
        <v>21</v>
      </c>
      <c r="J18" s="30" t="n">
        <v>27</v>
      </c>
      <c r="K18" s="30" t="n">
        <v>34</v>
      </c>
      <c r="L18" s="30" t="n">
        <v>42</v>
      </c>
      <c r="M18" s="30" t="n">
        <v>50</v>
      </c>
      <c r="N18" s="77" t="n">
        <f aca="false">AVERAGE(B18:M18)</f>
        <v>18.6666666666667</v>
      </c>
    </row>
    <row r="19" customFormat="false" ht="15" hidden="false" customHeight="true" outlineLevel="0" collapsed="false">
      <c r="A19" s="10" t="s">
        <v>394</v>
      </c>
      <c r="B19" s="72" t="n">
        <f aca="false">B18*0+B18*'2. Inputs'!$C$54</f>
        <v>12</v>
      </c>
      <c r="C19" s="72" t="n">
        <f aca="false">B18*0+C18*'2. Inputs'!$C$54</f>
        <v>24</v>
      </c>
      <c r="D19" s="72" t="n">
        <f aca="false">B18*0+D18*'2. Inputs'!$C$54</f>
        <v>48</v>
      </c>
      <c r="E19" s="72" t="n">
        <f aca="false">B18*0+E18*'2. Inputs'!$C$54</f>
        <v>72</v>
      </c>
      <c r="F19" s="72" t="n">
        <f aca="false">B18*0+F18*'2. Inputs'!$C$54</f>
        <v>108</v>
      </c>
      <c r="G19" s="72" t="n">
        <f aca="false">B18*0+G18*'2. Inputs'!$C$54</f>
        <v>144</v>
      </c>
      <c r="H19" s="72" t="n">
        <f aca="false">B18*0+H18*'2. Inputs'!$C$54</f>
        <v>192</v>
      </c>
      <c r="I19" s="72" t="n">
        <f aca="false">B18*0+I18*'2. Inputs'!$C$54</f>
        <v>252</v>
      </c>
      <c r="J19" s="72" t="n">
        <f aca="false">B18*0+J18*'2. Inputs'!$C$54</f>
        <v>324</v>
      </c>
      <c r="K19" s="72" t="n">
        <f aca="false">B18*0+K18*'2. Inputs'!$C$54</f>
        <v>408</v>
      </c>
      <c r="L19" s="72" t="n">
        <f aca="false">B18*0+L18*'2. Inputs'!$C$54</f>
        <v>504</v>
      </c>
      <c r="M19" s="72" t="n">
        <f aca="false">B18*0+M18*'2. Inputs'!$C$54</f>
        <v>600</v>
      </c>
      <c r="N19" s="78" t="n">
        <f aca="false">SUM(B19:M19)</f>
        <v>2688</v>
      </c>
    </row>
    <row r="20" customFormat="false" ht="15" hidden="false" customHeight="true" outlineLevel="0" collapsed="false">
      <c r="A20" s="10" t="s">
        <v>395</v>
      </c>
      <c r="B20" s="61" t="n">
        <f aca="false">'5. Unit Economics'!$B$6*'2. Inputs'!$C$58+'5. Unit Economics'!$C$6*'2. Inputs'!$C$59+'5. Unit Economics'!$D$6*'2. Inputs'!$C$60+'5. Unit Economics'!$E$6*'2. Inputs'!$C$61</f>
        <v>303.1</v>
      </c>
      <c r="C20" s="61" t="n">
        <f aca="false">'5. Unit Economics'!$B$6*'2. Inputs'!$C$58+'5. Unit Economics'!$C$6*'2. Inputs'!$C$59+'5. Unit Economics'!$D$6*'2. Inputs'!$C$60+'5. Unit Economics'!$E$6*'2. Inputs'!$C$61</f>
        <v>303.1</v>
      </c>
      <c r="D20" s="61" t="n">
        <f aca="false">'5. Unit Economics'!$B$6*'2. Inputs'!$C$58+'5. Unit Economics'!$C$6*'2. Inputs'!$C$59+'5. Unit Economics'!$D$6*'2. Inputs'!$C$60+'5. Unit Economics'!$E$6*'2. Inputs'!$C$61</f>
        <v>303.1</v>
      </c>
      <c r="E20" s="61" t="n">
        <f aca="false">'5. Unit Economics'!$B$6*'2. Inputs'!$C$58+'5. Unit Economics'!$C$6*'2. Inputs'!$C$59+'5. Unit Economics'!$D$6*'2. Inputs'!$C$60+'5. Unit Economics'!$E$6*'2. Inputs'!$C$61</f>
        <v>303.1</v>
      </c>
      <c r="F20" s="61" t="n">
        <f aca="false">'5. Unit Economics'!$B$6*'2. Inputs'!$C$58+'5. Unit Economics'!$C$6*'2. Inputs'!$C$59+'5. Unit Economics'!$D$6*'2. Inputs'!$C$60+'5. Unit Economics'!$E$6*'2. Inputs'!$C$61</f>
        <v>303.1</v>
      </c>
      <c r="G20" s="61" t="n">
        <f aca="false">'5. Unit Economics'!$B$6*'2. Inputs'!$C$58+'5. Unit Economics'!$C$6*'2. Inputs'!$C$59+'5. Unit Economics'!$D$6*'2. Inputs'!$C$60+'5. Unit Economics'!$E$6*'2. Inputs'!$C$61</f>
        <v>303.1</v>
      </c>
      <c r="H20" s="61" t="n">
        <f aca="false">'5. Unit Economics'!$B$6*'2. Inputs'!$C$58+'5. Unit Economics'!$C$6*'2. Inputs'!$C$59+'5. Unit Economics'!$D$6*'2. Inputs'!$C$60+'5. Unit Economics'!$E$6*'2. Inputs'!$C$61</f>
        <v>303.1</v>
      </c>
      <c r="I20" s="61" t="n">
        <f aca="false">'5. Unit Economics'!$B$6*'2. Inputs'!$C$58+'5. Unit Economics'!$C$6*'2. Inputs'!$C$59+'5. Unit Economics'!$D$6*'2. Inputs'!$C$60+'5. Unit Economics'!$E$6*'2. Inputs'!$C$61</f>
        <v>303.1</v>
      </c>
      <c r="J20" s="61" t="n">
        <f aca="false">'5. Unit Economics'!$B$6*'2. Inputs'!$C$58+'5. Unit Economics'!$C$6*'2. Inputs'!$C$59+'5. Unit Economics'!$D$6*'2. Inputs'!$C$60+'5. Unit Economics'!$E$6*'2. Inputs'!$C$61</f>
        <v>303.1</v>
      </c>
      <c r="K20" s="61" t="n">
        <f aca="false">'5. Unit Economics'!$B$6*'2. Inputs'!$C$58+'5. Unit Economics'!$C$6*'2. Inputs'!$C$59+'5. Unit Economics'!$D$6*'2. Inputs'!$C$60+'5. Unit Economics'!$E$6*'2. Inputs'!$C$61</f>
        <v>303.1</v>
      </c>
      <c r="L20" s="61" t="n">
        <f aca="false">'5. Unit Economics'!$B$6*'2. Inputs'!$C$58+'5. Unit Economics'!$C$6*'2. Inputs'!$C$59+'5. Unit Economics'!$D$6*'2. Inputs'!$C$60+'5. Unit Economics'!$E$6*'2. Inputs'!$C$61</f>
        <v>303.1</v>
      </c>
      <c r="M20" s="61" t="n">
        <f aca="false">'5. Unit Economics'!$B$6*'2. Inputs'!$C$58+'5. Unit Economics'!$C$6*'2. Inputs'!$C$59+'5. Unit Economics'!$D$6*'2. Inputs'!$C$60+'5. Unit Economics'!$E$6*'2. Inputs'!$C$61</f>
        <v>303.1</v>
      </c>
      <c r="N20" s="61" t="n">
        <f aca="false">B20</f>
        <v>303.1</v>
      </c>
    </row>
    <row r="21" customFormat="false" ht="15" hidden="false" customHeight="true" outlineLevel="0" collapsed="false">
      <c r="A21" s="10" t="s">
        <v>396</v>
      </c>
      <c r="B21" s="44" t="n">
        <f aca="false">B19*B20</f>
        <v>3637.2</v>
      </c>
      <c r="C21" s="44" t="n">
        <f aca="false">C19*C20</f>
        <v>7274.4</v>
      </c>
      <c r="D21" s="44" t="n">
        <f aca="false">D19*D20</f>
        <v>14548.8</v>
      </c>
      <c r="E21" s="44" t="n">
        <f aca="false">E19*E20</f>
        <v>21823.2</v>
      </c>
      <c r="F21" s="44" t="n">
        <f aca="false">F19*F20</f>
        <v>32734.8</v>
      </c>
      <c r="G21" s="44" t="n">
        <f aca="false">G19*G20</f>
        <v>43646.4</v>
      </c>
      <c r="H21" s="44" t="n">
        <f aca="false">H19*H20</f>
        <v>58195.2</v>
      </c>
      <c r="I21" s="44" t="n">
        <f aca="false">I19*I20</f>
        <v>76381.2</v>
      </c>
      <c r="J21" s="44" t="n">
        <f aca="false">J19*J20</f>
        <v>98204.4</v>
      </c>
      <c r="K21" s="44" t="n">
        <f aca="false">K19*K20</f>
        <v>123664.8</v>
      </c>
      <c r="L21" s="44" t="n">
        <f aca="false">L19*L20</f>
        <v>152762.4</v>
      </c>
      <c r="M21" s="44" t="n">
        <f aca="false">M19*M20</f>
        <v>181860</v>
      </c>
      <c r="N21" s="79" t="n">
        <f aca="false">SUM(B21:M21)</f>
        <v>814732.8</v>
      </c>
    </row>
    <row r="22" customFormat="false" ht="15" hidden="false" customHeight="true" outlineLevel="0" collapsed="false">
      <c r="A22" s="10" t="s">
        <v>397</v>
      </c>
      <c r="B22" s="55" t="n">
        <f aca="false">B19*'3. API Cost Reality'!$E$22</f>
        <v>675.959494736842</v>
      </c>
      <c r="C22" s="55" t="n">
        <f aca="false">C19*'3. API Cost Reality'!$E$22</f>
        <v>1351.91898947368</v>
      </c>
      <c r="D22" s="55" t="n">
        <f aca="false">D19*'3. API Cost Reality'!$E$22</f>
        <v>2703.83797894737</v>
      </c>
      <c r="E22" s="55" t="n">
        <f aca="false">E19*'3. API Cost Reality'!$E$22</f>
        <v>4055.75696842105</v>
      </c>
      <c r="F22" s="55" t="n">
        <f aca="false">F19*'3. API Cost Reality'!$E$22</f>
        <v>6083.63545263158</v>
      </c>
      <c r="G22" s="55" t="n">
        <f aca="false">G19*'3. API Cost Reality'!$E$22</f>
        <v>8111.5139368421</v>
      </c>
      <c r="H22" s="55" t="n">
        <f aca="false">H19*'3. API Cost Reality'!$E$22</f>
        <v>10815.3519157895</v>
      </c>
      <c r="I22" s="55" t="n">
        <f aca="false">I19*'3. API Cost Reality'!$E$22</f>
        <v>14195.1493894737</v>
      </c>
      <c r="J22" s="55" t="n">
        <f aca="false">J19*'3. API Cost Reality'!$E$22</f>
        <v>18250.9063578947</v>
      </c>
      <c r="K22" s="55" t="n">
        <f aca="false">K19*'3. API Cost Reality'!$E$22</f>
        <v>22982.6228210526</v>
      </c>
      <c r="L22" s="55" t="n">
        <f aca="false">L19*'3. API Cost Reality'!$E$22</f>
        <v>28390.2987789474</v>
      </c>
      <c r="M22" s="55" t="n">
        <f aca="false">M19*'3. API Cost Reality'!$E$22</f>
        <v>33797.9747368421</v>
      </c>
      <c r="N22" s="79" t="n">
        <f aca="false">SUM(B22:M22)</f>
        <v>151414.926821053</v>
      </c>
    </row>
    <row r="23" customFormat="false" ht="15" hidden="false" customHeight="true" outlineLevel="0" collapsed="false">
      <c r="A23" s="10" t="s">
        <v>398</v>
      </c>
      <c r="B23" s="55" t="n">
        <f aca="false">B21*'2. Inputs'!$C$48</f>
        <v>128.39316</v>
      </c>
      <c r="C23" s="55" t="n">
        <f aca="false">C21*'2. Inputs'!$C$48</f>
        <v>256.78632</v>
      </c>
      <c r="D23" s="55" t="n">
        <f aca="false">D21*'2. Inputs'!$C$48</f>
        <v>513.57264</v>
      </c>
      <c r="E23" s="55" t="n">
        <f aca="false">E21*'2. Inputs'!$C$48</f>
        <v>770.35896</v>
      </c>
      <c r="F23" s="55" t="n">
        <f aca="false">F21*'2. Inputs'!$C$48</f>
        <v>1155.53844</v>
      </c>
      <c r="G23" s="55" t="n">
        <f aca="false">G21*'2. Inputs'!$C$48</f>
        <v>1540.71792</v>
      </c>
      <c r="H23" s="55" t="n">
        <f aca="false">H21*'2. Inputs'!$C$48</f>
        <v>2054.29056</v>
      </c>
      <c r="I23" s="55" t="n">
        <f aca="false">I21*'2. Inputs'!$C$48</f>
        <v>2696.25636</v>
      </c>
      <c r="J23" s="55" t="n">
        <f aca="false">J21*'2. Inputs'!$C$48</f>
        <v>3466.61532</v>
      </c>
      <c r="K23" s="55" t="n">
        <f aca="false">K21*'2. Inputs'!$C$48</f>
        <v>4365.36744</v>
      </c>
      <c r="L23" s="55" t="n">
        <f aca="false">L21*'2. Inputs'!$C$48</f>
        <v>5392.51272</v>
      </c>
      <c r="M23" s="55" t="n">
        <f aca="false">M21*'2. Inputs'!$C$48</f>
        <v>6419.658</v>
      </c>
      <c r="N23" s="79" t="n">
        <f aca="false">SUM(B23:M23)</f>
        <v>28760.06784</v>
      </c>
    </row>
    <row r="24" customFormat="false" ht="15" hidden="false" customHeight="true" outlineLevel="0" collapsed="false">
      <c r="A24" s="10" t="s">
        <v>399</v>
      </c>
      <c r="B24" s="55" t="n">
        <f aca="false">B21*'2. Inputs'!$C$50/(1+'2. Inputs'!$C$50)*'2. Inputs'!$C$49</f>
        <v>0</v>
      </c>
      <c r="C24" s="55" t="n">
        <f aca="false">C21*'2. Inputs'!$C$50/(1+'2. Inputs'!$C$50)*'2. Inputs'!$C$49</f>
        <v>0</v>
      </c>
      <c r="D24" s="55" t="n">
        <f aca="false">D21*'2. Inputs'!$C$50/(1+'2. Inputs'!$C$50)*'2. Inputs'!$C$49</f>
        <v>0</v>
      </c>
      <c r="E24" s="55" t="n">
        <f aca="false">E21*'2. Inputs'!$C$50/(1+'2. Inputs'!$C$50)*'2. Inputs'!$C$49</f>
        <v>0</v>
      </c>
      <c r="F24" s="55" t="n">
        <f aca="false">F21*'2. Inputs'!$C$50/(1+'2. Inputs'!$C$50)*'2. Inputs'!$C$49</f>
        <v>0</v>
      </c>
      <c r="G24" s="55" t="n">
        <f aca="false">G21*'2. Inputs'!$C$50/(1+'2. Inputs'!$C$50)*'2. Inputs'!$C$49</f>
        <v>0</v>
      </c>
      <c r="H24" s="55" t="n">
        <f aca="false">H21*'2. Inputs'!$C$50/(1+'2. Inputs'!$C$50)*'2. Inputs'!$C$49</f>
        <v>0</v>
      </c>
      <c r="I24" s="55" t="n">
        <f aca="false">I21*'2. Inputs'!$C$50/(1+'2. Inputs'!$C$50)*'2. Inputs'!$C$49</f>
        <v>0</v>
      </c>
      <c r="J24" s="55" t="n">
        <f aca="false">J21*'2. Inputs'!$C$50/(1+'2. Inputs'!$C$50)*'2. Inputs'!$C$49</f>
        <v>0</v>
      </c>
      <c r="K24" s="55" t="n">
        <f aca="false">K21*'2. Inputs'!$C$50/(1+'2. Inputs'!$C$50)*'2. Inputs'!$C$49</f>
        <v>0</v>
      </c>
      <c r="L24" s="55" t="n">
        <f aca="false">L21*'2. Inputs'!$C$50/(1+'2. Inputs'!$C$50)*'2. Inputs'!$C$49</f>
        <v>0</v>
      </c>
      <c r="M24" s="55" t="n">
        <f aca="false">M21*'2. Inputs'!$C$50/(1+'2. Inputs'!$C$50)*'2. Inputs'!$C$49</f>
        <v>0</v>
      </c>
      <c r="N24" s="79" t="n">
        <f aca="false">SUM(B24:M24)</f>
        <v>0</v>
      </c>
    </row>
    <row r="25" customFormat="false" ht="15" hidden="false" customHeight="true" outlineLevel="0" collapsed="false">
      <c r="A25" s="10" t="s">
        <v>400</v>
      </c>
      <c r="B25" s="55" t="n">
        <f aca="false">'4. Fixed Costs'!$B$12</f>
        <v>5000</v>
      </c>
      <c r="C25" s="55" t="n">
        <f aca="false">'4. Fixed Costs'!$B$12</f>
        <v>5000</v>
      </c>
      <c r="D25" s="55" t="n">
        <f aca="false">'4. Fixed Costs'!$B$12</f>
        <v>5000</v>
      </c>
      <c r="E25" s="55" t="n">
        <f aca="false">'4. Fixed Costs'!$B$12</f>
        <v>5000</v>
      </c>
      <c r="F25" s="55" t="n">
        <f aca="false">'4. Fixed Costs'!$B$12</f>
        <v>5000</v>
      </c>
      <c r="G25" s="55" t="n">
        <f aca="false">'4. Fixed Costs'!$B$12</f>
        <v>5000</v>
      </c>
      <c r="H25" s="55" t="n">
        <f aca="false">'4. Fixed Costs'!$B$12</f>
        <v>5000</v>
      </c>
      <c r="I25" s="55" t="n">
        <f aca="false">'4. Fixed Costs'!$B$12</f>
        <v>5000</v>
      </c>
      <c r="J25" s="55" t="n">
        <f aca="false">'4. Fixed Costs'!$B$12</f>
        <v>5000</v>
      </c>
      <c r="K25" s="55" t="n">
        <f aca="false">'4. Fixed Costs'!$B$12</f>
        <v>5000</v>
      </c>
      <c r="L25" s="55" t="n">
        <f aca="false">'4. Fixed Costs'!$B$12</f>
        <v>5000</v>
      </c>
      <c r="M25" s="55" t="n">
        <f aca="false">'4. Fixed Costs'!$B$12</f>
        <v>5000</v>
      </c>
      <c r="N25" s="79" t="n">
        <f aca="false">SUM(B25:M25)</f>
        <v>60000</v>
      </c>
    </row>
    <row r="26" customFormat="false" ht="15" hidden="false" customHeight="true" outlineLevel="0" collapsed="false">
      <c r="A26" s="56" t="s">
        <v>401</v>
      </c>
      <c r="B26" s="57" t="n">
        <f aca="false">B21-B22-B23-B24-B25</f>
        <v>-2167.15265473684</v>
      </c>
      <c r="C26" s="57" t="n">
        <f aca="false">C21-C22-C23-C24-C25</f>
        <v>665.694690526317</v>
      </c>
      <c r="D26" s="57" t="n">
        <f aca="false">D21-D22-D23-D24-D25</f>
        <v>6331.38938105263</v>
      </c>
      <c r="E26" s="57" t="n">
        <f aca="false">E21-E22-E23-E24-E25</f>
        <v>11997.0840715789</v>
      </c>
      <c r="F26" s="57" t="n">
        <f aca="false">F21-F22-F23-F24-F25</f>
        <v>20495.6261073684</v>
      </c>
      <c r="G26" s="57" t="n">
        <f aca="false">G21-G22-G23-G24-G25</f>
        <v>28994.1681431579</v>
      </c>
      <c r="H26" s="57" t="n">
        <f aca="false">H21-H22-H23-H24-H25</f>
        <v>40325.5575242105</v>
      </c>
      <c r="I26" s="57" t="n">
        <f aca="false">I21-I22-I23-I24-I25</f>
        <v>54489.7942505263</v>
      </c>
      <c r="J26" s="57" t="n">
        <f aca="false">J21-J22-J23-J24-J25</f>
        <v>71486.8783221053</v>
      </c>
      <c r="K26" s="57" t="n">
        <f aca="false">K21-K22-K23-K24-K25</f>
        <v>91316.8097389474</v>
      </c>
      <c r="L26" s="57" t="n">
        <f aca="false">L21-L22-L23-L24-L25</f>
        <v>113979.588501053</v>
      </c>
      <c r="M26" s="57" t="n">
        <f aca="false">M21-M22-M23-M24-M25</f>
        <v>136642.367263158</v>
      </c>
      <c r="N26" s="57" t="n">
        <f aca="false">SUM(B26:M26)</f>
        <v>574557.805338948</v>
      </c>
    </row>
    <row r="27" customFormat="false" ht="15" hidden="false" customHeight="true" outlineLevel="0" collapsed="false">
      <c r="A27" s="9" t="s">
        <v>402</v>
      </c>
      <c r="B27" s="79" t="n">
        <f aca="false">B26</f>
        <v>-2167.15265473684</v>
      </c>
      <c r="C27" s="79" t="n">
        <f aca="false">B27+C26</f>
        <v>-1501.45796421053</v>
      </c>
      <c r="D27" s="79" t="n">
        <f aca="false">C27+D26</f>
        <v>4829.93141684211</v>
      </c>
      <c r="E27" s="79" t="n">
        <f aca="false">D27+E26</f>
        <v>16827.0154884211</v>
      </c>
      <c r="F27" s="79" t="n">
        <f aca="false">E27+F26</f>
        <v>37322.6415957895</v>
      </c>
      <c r="G27" s="79" t="n">
        <f aca="false">F27+G26</f>
        <v>66316.8097389474</v>
      </c>
      <c r="H27" s="79" t="n">
        <f aca="false">G27+H26</f>
        <v>106642.367263158</v>
      </c>
      <c r="I27" s="79" t="n">
        <f aca="false">H27+I26</f>
        <v>161132.161513684</v>
      </c>
      <c r="J27" s="79" t="n">
        <f aca="false">I27+J26</f>
        <v>232619.03983579</v>
      </c>
      <c r="K27" s="79" t="n">
        <f aca="false">J27+K26</f>
        <v>323935.849574737</v>
      </c>
      <c r="L27" s="79" t="n">
        <f aca="false">K27+L26</f>
        <v>437915.43807579</v>
      </c>
      <c r="M27" s="79" t="n">
        <f aca="false">L27+M26</f>
        <v>574557.805338948</v>
      </c>
      <c r="N27" s="79" t="n">
        <f aca="false">M27</f>
        <v>574557.805338948</v>
      </c>
    </row>
    <row r="29" customFormat="false" ht="24" hidden="false" customHeight="true" outlineLevel="0" collapsed="false">
      <c r="A29" s="81" t="s">
        <v>404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</row>
    <row r="30" customFormat="false" ht="15" hidden="false" customHeight="true" outlineLevel="0" collapsed="false">
      <c r="A30" s="9" t="s">
        <v>379</v>
      </c>
      <c r="B30" s="76" t="s">
        <v>380</v>
      </c>
      <c r="C30" s="76" t="s">
        <v>381</v>
      </c>
      <c r="D30" s="76" t="s">
        <v>382</v>
      </c>
      <c r="E30" s="76" t="s">
        <v>383</v>
      </c>
      <c r="F30" s="76" t="s">
        <v>384</v>
      </c>
      <c r="G30" s="76" t="s">
        <v>385</v>
      </c>
      <c r="H30" s="76" t="s">
        <v>386</v>
      </c>
      <c r="I30" s="76" t="s">
        <v>387</v>
      </c>
      <c r="J30" s="76" t="s">
        <v>388</v>
      </c>
      <c r="K30" s="76" t="s">
        <v>389</v>
      </c>
      <c r="L30" s="76" t="s">
        <v>390</v>
      </c>
      <c r="M30" s="76" t="s">
        <v>391</v>
      </c>
      <c r="N30" s="42" t="s">
        <v>392</v>
      </c>
    </row>
    <row r="31" customFormat="false" ht="15" hidden="false" customHeight="true" outlineLevel="0" collapsed="false">
      <c r="A31" s="10" t="s">
        <v>393</v>
      </c>
      <c r="B31" s="30" t="n">
        <v>1</v>
      </c>
      <c r="C31" s="30" t="n">
        <v>3</v>
      </c>
      <c r="D31" s="30" t="n">
        <v>7</v>
      </c>
      <c r="E31" s="30" t="n">
        <v>12</v>
      </c>
      <c r="F31" s="30" t="n">
        <v>18</v>
      </c>
      <c r="G31" s="30" t="n">
        <v>26</v>
      </c>
      <c r="H31" s="30" t="n">
        <v>36</v>
      </c>
      <c r="I31" s="30" t="n">
        <v>50</v>
      </c>
      <c r="J31" s="30" t="n">
        <v>70</v>
      </c>
      <c r="K31" s="30" t="n">
        <v>95</v>
      </c>
      <c r="L31" s="30" t="n">
        <v>130</v>
      </c>
      <c r="M31" s="30" t="n">
        <v>175</v>
      </c>
      <c r="N31" s="77" t="n">
        <f aca="false">AVERAGE(B31:M31)</f>
        <v>51.9166666666667</v>
      </c>
    </row>
    <row r="32" customFormat="false" ht="15" hidden="false" customHeight="true" outlineLevel="0" collapsed="false">
      <c r="A32" s="10" t="s">
        <v>394</v>
      </c>
      <c r="B32" s="72" t="n">
        <f aca="false">B31*0+B31*'2. Inputs'!$C$54</f>
        <v>12</v>
      </c>
      <c r="C32" s="72" t="n">
        <f aca="false">B31*0+C31*'2. Inputs'!$C$54</f>
        <v>36</v>
      </c>
      <c r="D32" s="72" t="n">
        <f aca="false">B31*0+D31*'2. Inputs'!$C$54</f>
        <v>84</v>
      </c>
      <c r="E32" s="72" t="n">
        <f aca="false">B31*0+E31*'2. Inputs'!$C$54</f>
        <v>144</v>
      </c>
      <c r="F32" s="72" t="n">
        <f aca="false">B31*0+F31*'2. Inputs'!$C$54</f>
        <v>216</v>
      </c>
      <c r="G32" s="72" t="n">
        <f aca="false">B31*0+G31*'2. Inputs'!$C$54</f>
        <v>312</v>
      </c>
      <c r="H32" s="72" t="n">
        <f aca="false">B31*0+H31*'2. Inputs'!$C$54</f>
        <v>432</v>
      </c>
      <c r="I32" s="72" t="n">
        <f aca="false">B31*0+I31*'2. Inputs'!$C$54</f>
        <v>600</v>
      </c>
      <c r="J32" s="72" t="n">
        <f aca="false">B31*0+J31*'2. Inputs'!$C$54</f>
        <v>840</v>
      </c>
      <c r="K32" s="72" t="n">
        <f aca="false">B31*0+K31*'2. Inputs'!$C$54</f>
        <v>1140</v>
      </c>
      <c r="L32" s="72" t="n">
        <f aca="false">B31*0+L31*'2. Inputs'!$C$54</f>
        <v>1560</v>
      </c>
      <c r="M32" s="72" t="n">
        <f aca="false">B31*0+M31*'2. Inputs'!$C$54</f>
        <v>2100</v>
      </c>
      <c r="N32" s="78" t="n">
        <f aca="false">SUM(B32:M32)</f>
        <v>7476</v>
      </c>
    </row>
    <row r="33" customFormat="false" ht="15" hidden="false" customHeight="true" outlineLevel="0" collapsed="false">
      <c r="A33" s="10" t="s">
        <v>395</v>
      </c>
      <c r="B33" s="61" t="n">
        <f aca="false">'5. Unit Economics'!$B$6*'2. Inputs'!$C$58+'5. Unit Economics'!$C$6*'2. Inputs'!$C$59+'5. Unit Economics'!$D$6*'2. Inputs'!$C$60+'5. Unit Economics'!$E$6*'2. Inputs'!$C$61</f>
        <v>303.1</v>
      </c>
      <c r="C33" s="61" t="n">
        <f aca="false">'5. Unit Economics'!$B$6*'2. Inputs'!$C$58+'5. Unit Economics'!$C$6*'2. Inputs'!$C$59+'5. Unit Economics'!$D$6*'2. Inputs'!$C$60+'5. Unit Economics'!$E$6*'2. Inputs'!$C$61</f>
        <v>303.1</v>
      </c>
      <c r="D33" s="61" t="n">
        <f aca="false">'5. Unit Economics'!$B$6*'2. Inputs'!$C$58+'5. Unit Economics'!$C$6*'2. Inputs'!$C$59+'5. Unit Economics'!$D$6*'2. Inputs'!$C$60+'5. Unit Economics'!$E$6*'2. Inputs'!$C$61</f>
        <v>303.1</v>
      </c>
      <c r="E33" s="61" t="n">
        <f aca="false">'5. Unit Economics'!$B$6*'2. Inputs'!$C$58+'5. Unit Economics'!$C$6*'2. Inputs'!$C$59+'5. Unit Economics'!$D$6*'2. Inputs'!$C$60+'5. Unit Economics'!$E$6*'2. Inputs'!$C$61</f>
        <v>303.1</v>
      </c>
      <c r="F33" s="61" t="n">
        <f aca="false">'5. Unit Economics'!$B$6*'2. Inputs'!$C$58+'5. Unit Economics'!$C$6*'2. Inputs'!$C$59+'5. Unit Economics'!$D$6*'2. Inputs'!$C$60+'5. Unit Economics'!$E$6*'2. Inputs'!$C$61</f>
        <v>303.1</v>
      </c>
      <c r="G33" s="61" t="n">
        <f aca="false">'5. Unit Economics'!$B$6*'2. Inputs'!$C$58+'5. Unit Economics'!$C$6*'2. Inputs'!$C$59+'5. Unit Economics'!$D$6*'2. Inputs'!$C$60+'5. Unit Economics'!$E$6*'2. Inputs'!$C$61</f>
        <v>303.1</v>
      </c>
      <c r="H33" s="61" t="n">
        <f aca="false">'5. Unit Economics'!$B$6*'2. Inputs'!$C$58+'5. Unit Economics'!$C$6*'2. Inputs'!$C$59+'5. Unit Economics'!$D$6*'2. Inputs'!$C$60+'5. Unit Economics'!$E$6*'2. Inputs'!$C$61</f>
        <v>303.1</v>
      </c>
      <c r="I33" s="61" t="n">
        <f aca="false">'5. Unit Economics'!$B$6*'2. Inputs'!$C$58+'5. Unit Economics'!$C$6*'2. Inputs'!$C$59+'5. Unit Economics'!$D$6*'2. Inputs'!$C$60+'5. Unit Economics'!$E$6*'2. Inputs'!$C$61</f>
        <v>303.1</v>
      </c>
      <c r="J33" s="61" t="n">
        <f aca="false">'5. Unit Economics'!$B$6*'2. Inputs'!$C$58+'5. Unit Economics'!$C$6*'2. Inputs'!$C$59+'5. Unit Economics'!$D$6*'2. Inputs'!$C$60+'5. Unit Economics'!$E$6*'2. Inputs'!$C$61</f>
        <v>303.1</v>
      </c>
      <c r="K33" s="61" t="n">
        <f aca="false">'5. Unit Economics'!$B$6*'2. Inputs'!$C$58+'5. Unit Economics'!$C$6*'2. Inputs'!$C$59+'5. Unit Economics'!$D$6*'2. Inputs'!$C$60+'5. Unit Economics'!$E$6*'2. Inputs'!$C$61</f>
        <v>303.1</v>
      </c>
      <c r="L33" s="61" t="n">
        <f aca="false">'5. Unit Economics'!$B$6*'2. Inputs'!$C$58+'5. Unit Economics'!$C$6*'2. Inputs'!$C$59+'5. Unit Economics'!$D$6*'2. Inputs'!$C$60+'5. Unit Economics'!$E$6*'2. Inputs'!$C$61</f>
        <v>303.1</v>
      </c>
      <c r="M33" s="61" t="n">
        <f aca="false">'5. Unit Economics'!$B$6*'2. Inputs'!$C$58+'5. Unit Economics'!$C$6*'2. Inputs'!$C$59+'5. Unit Economics'!$D$6*'2. Inputs'!$C$60+'5. Unit Economics'!$E$6*'2. Inputs'!$C$61</f>
        <v>303.1</v>
      </c>
      <c r="N33" s="61" t="n">
        <f aca="false">B33</f>
        <v>303.1</v>
      </c>
    </row>
    <row r="34" customFormat="false" ht="15" hidden="false" customHeight="true" outlineLevel="0" collapsed="false">
      <c r="A34" s="10" t="s">
        <v>396</v>
      </c>
      <c r="B34" s="44" t="n">
        <f aca="false">B32*B33</f>
        <v>3637.2</v>
      </c>
      <c r="C34" s="44" t="n">
        <f aca="false">C32*C33</f>
        <v>10911.6</v>
      </c>
      <c r="D34" s="44" t="n">
        <f aca="false">D32*D33</f>
        <v>25460.4</v>
      </c>
      <c r="E34" s="44" t="n">
        <f aca="false">E32*E33</f>
        <v>43646.4</v>
      </c>
      <c r="F34" s="44" t="n">
        <f aca="false">F32*F33</f>
        <v>65469.6</v>
      </c>
      <c r="G34" s="44" t="n">
        <f aca="false">G32*G33</f>
        <v>94567.2</v>
      </c>
      <c r="H34" s="44" t="n">
        <f aca="false">H32*H33</f>
        <v>130939.2</v>
      </c>
      <c r="I34" s="44" t="n">
        <f aca="false">I32*I33</f>
        <v>181860</v>
      </c>
      <c r="J34" s="44" t="n">
        <f aca="false">J32*J33</f>
        <v>254604</v>
      </c>
      <c r="K34" s="44" t="n">
        <f aca="false">K32*K33</f>
        <v>345534</v>
      </c>
      <c r="L34" s="44" t="n">
        <f aca="false">L32*L33</f>
        <v>472836</v>
      </c>
      <c r="M34" s="44" t="n">
        <f aca="false">M32*M33</f>
        <v>636510</v>
      </c>
      <c r="N34" s="79" t="n">
        <f aca="false">SUM(B34:M34)</f>
        <v>2265975.6</v>
      </c>
    </row>
    <row r="35" customFormat="false" ht="15" hidden="false" customHeight="true" outlineLevel="0" collapsed="false">
      <c r="A35" s="10" t="s">
        <v>397</v>
      </c>
      <c r="B35" s="55" t="n">
        <f aca="false">B32*'3. API Cost Reality'!$E$22</f>
        <v>675.959494736842</v>
      </c>
      <c r="C35" s="55" t="n">
        <f aca="false">C32*'3. API Cost Reality'!$E$22</f>
        <v>2027.87848421053</v>
      </c>
      <c r="D35" s="55" t="n">
        <f aca="false">D32*'3. API Cost Reality'!$E$22</f>
        <v>4731.71646315789</v>
      </c>
      <c r="E35" s="55" t="n">
        <f aca="false">E32*'3. API Cost Reality'!$E$22</f>
        <v>8111.5139368421</v>
      </c>
      <c r="F35" s="55" t="n">
        <f aca="false">F32*'3. API Cost Reality'!$E$22</f>
        <v>12167.2709052632</v>
      </c>
      <c r="G35" s="55" t="n">
        <f aca="false">G32*'3. API Cost Reality'!$E$22</f>
        <v>17574.9468631579</v>
      </c>
      <c r="H35" s="55" t="n">
        <f aca="false">H32*'3. API Cost Reality'!$E$22</f>
        <v>24334.5418105263</v>
      </c>
      <c r="I35" s="55" t="n">
        <f aca="false">I32*'3. API Cost Reality'!$E$22</f>
        <v>33797.9747368421</v>
      </c>
      <c r="J35" s="55" t="n">
        <f aca="false">J32*'3. API Cost Reality'!$E$22</f>
        <v>47317.1646315789</v>
      </c>
      <c r="K35" s="55" t="n">
        <f aca="false">K32*'3. API Cost Reality'!$E$22</f>
        <v>64216.152</v>
      </c>
      <c r="L35" s="55" t="n">
        <f aca="false">L32*'3. API Cost Reality'!$E$22</f>
        <v>87874.7343157895</v>
      </c>
      <c r="M35" s="55" t="n">
        <f aca="false">M32*'3. API Cost Reality'!$E$22</f>
        <v>118292.911578947</v>
      </c>
      <c r="N35" s="79" t="n">
        <f aca="false">SUM(B35:M35)</f>
        <v>421122.765221053</v>
      </c>
    </row>
    <row r="36" customFormat="false" ht="15" hidden="false" customHeight="true" outlineLevel="0" collapsed="false">
      <c r="A36" s="10" t="s">
        <v>398</v>
      </c>
      <c r="B36" s="55" t="n">
        <f aca="false">B34*'2. Inputs'!$C$48</f>
        <v>128.39316</v>
      </c>
      <c r="C36" s="55" t="n">
        <f aca="false">C34*'2. Inputs'!$C$48</f>
        <v>385.17948</v>
      </c>
      <c r="D36" s="55" t="n">
        <f aca="false">D34*'2. Inputs'!$C$48</f>
        <v>898.75212</v>
      </c>
      <c r="E36" s="55" t="n">
        <f aca="false">E34*'2. Inputs'!$C$48</f>
        <v>1540.71792</v>
      </c>
      <c r="F36" s="55" t="n">
        <f aca="false">F34*'2. Inputs'!$C$48</f>
        <v>2311.07688</v>
      </c>
      <c r="G36" s="55" t="n">
        <f aca="false">G34*'2. Inputs'!$C$48</f>
        <v>3338.22216</v>
      </c>
      <c r="H36" s="55" t="n">
        <f aca="false">H34*'2. Inputs'!$C$48</f>
        <v>4622.15376</v>
      </c>
      <c r="I36" s="55" t="n">
        <f aca="false">I34*'2. Inputs'!$C$48</f>
        <v>6419.658</v>
      </c>
      <c r="J36" s="55" t="n">
        <f aca="false">J34*'2. Inputs'!$C$48</f>
        <v>8987.5212</v>
      </c>
      <c r="K36" s="55" t="n">
        <f aca="false">K34*'2. Inputs'!$C$48</f>
        <v>12197.3502</v>
      </c>
      <c r="L36" s="55" t="n">
        <f aca="false">L34*'2. Inputs'!$C$48</f>
        <v>16691.1108</v>
      </c>
      <c r="M36" s="55" t="n">
        <f aca="false">M34*'2. Inputs'!$C$48</f>
        <v>22468.803</v>
      </c>
      <c r="N36" s="79" t="n">
        <f aca="false">SUM(B36:M36)</f>
        <v>79988.93868</v>
      </c>
    </row>
    <row r="37" customFormat="false" ht="15" hidden="false" customHeight="true" outlineLevel="0" collapsed="false">
      <c r="A37" s="10" t="s">
        <v>399</v>
      </c>
      <c r="B37" s="55" t="n">
        <f aca="false">B34*'2. Inputs'!$C$50/(1+'2. Inputs'!$C$50)*'2. Inputs'!$C$49</f>
        <v>0</v>
      </c>
      <c r="C37" s="55" t="n">
        <f aca="false">C34*'2. Inputs'!$C$50/(1+'2. Inputs'!$C$50)*'2. Inputs'!$C$49</f>
        <v>0</v>
      </c>
      <c r="D37" s="55" t="n">
        <f aca="false">D34*'2. Inputs'!$C$50/(1+'2. Inputs'!$C$50)*'2. Inputs'!$C$49</f>
        <v>0</v>
      </c>
      <c r="E37" s="55" t="n">
        <f aca="false">E34*'2. Inputs'!$C$50/(1+'2. Inputs'!$C$50)*'2. Inputs'!$C$49</f>
        <v>0</v>
      </c>
      <c r="F37" s="55" t="n">
        <f aca="false">F34*'2. Inputs'!$C$50/(1+'2. Inputs'!$C$50)*'2. Inputs'!$C$49</f>
        <v>0</v>
      </c>
      <c r="G37" s="55" t="n">
        <f aca="false">G34*'2. Inputs'!$C$50/(1+'2. Inputs'!$C$50)*'2. Inputs'!$C$49</f>
        <v>0</v>
      </c>
      <c r="H37" s="55" t="n">
        <f aca="false">H34*'2. Inputs'!$C$50/(1+'2. Inputs'!$C$50)*'2. Inputs'!$C$49</f>
        <v>0</v>
      </c>
      <c r="I37" s="55" t="n">
        <f aca="false">I34*'2. Inputs'!$C$50/(1+'2. Inputs'!$C$50)*'2. Inputs'!$C$49</f>
        <v>0</v>
      </c>
      <c r="J37" s="55" t="n">
        <f aca="false">J34*'2. Inputs'!$C$50/(1+'2. Inputs'!$C$50)*'2. Inputs'!$C$49</f>
        <v>0</v>
      </c>
      <c r="K37" s="55" t="n">
        <f aca="false">K34*'2. Inputs'!$C$50/(1+'2. Inputs'!$C$50)*'2. Inputs'!$C$49</f>
        <v>0</v>
      </c>
      <c r="L37" s="55" t="n">
        <f aca="false">L34*'2. Inputs'!$C$50/(1+'2. Inputs'!$C$50)*'2. Inputs'!$C$49</f>
        <v>0</v>
      </c>
      <c r="M37" s="55" t="n">
        <f aca="false">M34*'2. Inputs'!$C$50/(1+'2. Inputs'!$C$50)*'2. Inputs'!$C$49</f>
        <v>0</v>
      </c>
      <c r="N37" s="79" t="n">
        <f aca="false">SUM(B37:M37)</f>
        <v>0</v>
      </c>
    </row>
    <row r="38" customFormat="false" ht="15" hidden="false" customHeight="true" outlineLevel="0" collapsed="false">
      <c r="A38" s="10" t="s">
        <v>400</v>
      </c>
      <c r="B38" s="55" t="n">
        <f aca="false">'4. Fixed Costs'!$B$12</f>
        <v>5000</v>
      </c>
      <c r="C38" s="55" t="n">
        <f aca="false">'4. Fixed Costs'!$B$12</f>
        <v>5000</v>
      </c>
      <c r="D38" s="55" t="n">
        <f aca="false">'4. Fixed Costs'!$B$12</f>
        <v>5000</v>
      </c>
      <c r="E38" s="55" t="n">
        <f aca="false">'4. Fixed Costs'!$B$12</f>
        <v>5000</v>
      </c>
      <c r="F38" s="55" t="n">
        <f aca="false">'4. Fixed Costs'!$B$12</f>
        <v>5000</v>
      </c>
      <c r="G38" s="55" t="n">
        <f aca="false">'4. Fixed Costs'!$B$12</f>
        <v>5000</v>
      </c>
      <c r="H38" s="55" t="n">
        <f aca="false">'4. Fixed Costs'!$B$12</f>
        <v>5000</v>
      </c>
      <c r="I38" s="55" t="n">
        <f aca="false">'4. Fixed Costs'!$B$12</f>
        <v>5000</v>
      </c>
      <c r="J38" s="55" t="n">
        <f aca="false">'4. Fixed Costs'!$B$12</f>
        <v>5000</v>
      </c>
      <c r="K38" s="55" t="n">
        <f aca="false">'4. Fixed Costs'!$B$12</f>
        <v>5000</v>
      </c>
      <c r="L38" s="55" t="n">
        <f aca="false">'4. Fixed Costs'!$B$12</f>
        <v>5000</v>
      </c>
      <c r="M38" s="55" t="n">
        <f aca="false">'4. Fixed Costs'!$B$12</f>
        <v>5000</v>
      </c>
      <c r="N38" s="79" t="n">
        <f aca="false">SUM(B38:M38)</f>
        <v>60000</v>
      </c>
    </row>
    <row r="39" customFormat="false" ht="15" hidden="false" customHeight="true" outlineLevel="0" collapsed="false">
      <c r="A39" s="56" t="s">
        <v>401</v>
      </c>
      <c r="B39" s="57" t="n">
        <f aca="false">B34-B35-B36-B37-B38</f>
        <v>-2167.15265473684</v>
      </c>
      <c r="C39" s="57" t="n">
        <f aca="false">C34-C35-C36-C37-C38</f>
        <v>3498.54203578947</v>
      </c>
      <c r="D39" s="57" t="n">
        <f aca="false">D34-D35-D36-D37-D38</f>
        <v>14829.9314168421</v>
      </c>
      <c r="E39" s="57" t="n">
        <f aca="false">E34-E35-E36-E37-E38</f>
        <v>28994.1681431579</v>
      </c>
      <c r="F39" s="57" t="n">
        <f aca="false">F34-F35-F36-F37-F38</f>
        <v>45991.2522147369</v>
      </c>
      <c r="G39" s="57" t="n">
        <f aca="false">G34-G35-G36-G37-G38</f>
        <v>68654.0309768421</v>
      </c>
      <c r="H39" s="57" t="n">
        <f aca="false">H34-H35-H36-H37-H38</f>
        <v>96982.5044294737</v>
      </c>
      <c r="I39" s="57" t="n">
        <f aca="false">I34-I35-I36-I37-I38</f>
        <v>136642.367263158</v>
      </c>
      <c r="J39" s="57" t="n">
        <f aca="false">J34-J35-J36-J37-J38</f>
        <v>193299.314168421</v>
      </c>
      <c r="K39" s="57" t="n">
        <f aca="false">K34-K35-K36-K37-K38</f>
        <v>264120.4978</v>
      </c>
      <c r="L39" s="57" t="n">
        <f aca="false">L34-L35-L36-L37-L38</f>
        <v>363270.154884211</v>
      </c>
      <c r="M39" s="57" t="n">
        <f aca="false">M34-M35-M36-M37-M38</f>
        <v>490748.285421053</v>
      </c>
      <c r="N39" s="57" t="n">
        <f aca="false">SUM(B39:M39)</f>
        <v>1704863.89609895</v>
      </c>
    </row>
    <row r="40" customFormat="false" ht="15" hidden="false" customHeight="true" outlineLevel="0" collapsed="false">
      <c r="A40" s="9" t="s">
        <v>402</v>
      </c>
      <c r="B40" s="79" t="n">
        <f aca="false">B39</f>
        <v>-2167.15265473684</v>
      </c>
      <c r="C40" s="79" t="n">
        <f aca="false">B40+C39</f>
        <v>1331.38938105263</v>
      </c>
      <c r="D40" s="79" t="n">
        <f aca="false">C40+D39</f>
        <v>16161.3207978947</v>
      </c>
      <c r="E40" s="79" t="n">
        <f aca="false">D40+E39</f>
        <v>45155.4889410526</v>
      </c>
      <c r="F40" s="79" t="n">
        <f aca="false">E40+F39</f>
        <v>91146.7411557895</v>
      </c>
      <c r="G40" s="79" t="n">
        <f aca="false">F40+G39</f>
        <v>159800.772132632</v>
      </c>
      <c r="H40" s="79" t="n">
        <f aca="false">G40+H39</f>
        <v>256783.276562105</v>
      </c>
      <c r="I40" s="79" t="n">
        <f aca="false">H40+I39</f>
        <v>393425.643825263</v>
      </c>
      <c r="J40" s="79" t="n">
        <f aca="false">I40+J39</f>
        <v>586724.957993684</v>
      </c>
      <c r="K40" s="79" t="n">
        <f aca="false">J40+K39</f>
        <v>850845.455793684</v>
      </c>
      <c r="L40" s="79" t="n">
        <f aca="false">K40+L39</f>
        <v>1214115.6106779</v>
      </c>
      <c r="M40" s="79" t="n">
        <f aca="false">L40+M39</f>
        <v>1704863.89609895</v>
      </c>
      <c r="N40" s="79" t="n">
        <f aca="false">M40</f>
        <v>1704863.89609895</v>
      </c>
    </row>
  </sheetData>
  <mergeCells count="4">
    <mergeCell ref="A1:N1"/>
    <mergeCell ref="A3:N3"/>
    <mergeCell ref="A16:N16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8"/>
  </cols>
  <sheetData>
    <row r="1" customFormat="false" ht="27.75" hidden="false" customHeight="true" outlineLevel="0" collapsed="false">
      <c r="A1" s="2" t="s">
        <v>405</v>
      </c>
      <c r="B1" s="2"/>
      <c r="C1" s="2"/>
      <c r="D1" s="2"/>
      <c r="E1" s="2"/>
      <c r="F1" s="2"/>
      <c r="G1" s="2"/>
    </row>
    <row r="3" customFormat="false" ht="21.75" hidden="false" customHeight="true" outlineLevel="0" collapsed="false">
      <c r="A3" s="41" t="s">
        <v>406</v>
      </c>
      <c r="B3" s="41"/>
      <c r="C3" s="41"/>
      <c r="D3" s="41"/>
      <c r="E3" s="41"/>
      <c r="F3" s="41"/>
      <c r="G3" s="41"/>
    </row>
    <row r="4" customFormat="false" ht="15" hidden="false" customHeight="true" outlineLevel="0" collapsed="false">
      <c r="A4" s="42" t="s">
        <v>366</v>
      </c>
      <c r="B4" s="42" t="s">
        <v>407</v>
      </c>
      <c r="C4" s="42" t="s">
        <v>408</v>
      </c>
      <c r="D4" s="42" t="s">
        <v>409</v>
      </c>
      <c r="E4" s="42" t="s">
        <v>410</v>
      </c>
      <c r="F4" s="42" t="s">
        <v>411</v>
      </c>
      <c r="G4" s="42" t="s">
        <v>412</v>
      </c>
    </row>
    <row r="5" customFormat="false" ht="15" hidden="false" customHeight="true" outlineLevel="0" collapsed="false">
      <c r="A5" s="10" t="s">
        <v>413</v>
      </c>
      <c r="B5" s="61" t="n">
        <f aca="false">'5. Unit Economics'!$B$6*'2. Inputs'!$C$58+'5. Unit Economics'!$C$6*'2. Inputs'!$C$59+'5. Unit Economics'!$D$6*'2. Inputs'!$C$60+'5. Unit Economics'!$E$6*'2. Inputs'!$C$61</f>
        <v>303.1</v>
      </c>
      <c r="C5" s="53" t="n">
        <f aca="false">15+B5*'2. Inputs'!$C$48</f>
        <v>25.69943</v>
      </c>
      <c r="D5" s="53" t="n">
        <f aca="false">B5-C5</f>
        <v>277.40057</v>
      </c>
      <c r="E5" s="55" t="n">
        <f aca="false">'4. Fixed Costs'!$B$12</f>
        <v>5000</v>
      </c>
      <c r="F5" s="78" t="n">
        <f aca="false">IF(D5&lt;=0,9999,E5/D5)</f>
        <v>18.0244763015447</v>
      </c>
      <c r="G5" s="77" t="n">
        <f aca="false">F5/'2. Inputs'!$C$54</f>
        <v>1.50203969179539</v>
      </c>
    </row>
    <row r="6" customFormat="false" ht="15" hidden="false" customHeight="true" outlineLevel="0" collapsed="false">
      <c r="A6" s="10" t="s">
        <v>414</v>
      </c>
      <c r="B6" s="61" t="n">
        <f aca="false">'5. Unit Economics'!$B$6*'2. Inputs'!$C$58+'5. Unit Economics'!$C$6*'2. Inputs'!$C$59+'5. Unit Economics'!$D$6*'2. Inputs'!$C$60+'5. Unit Economics'!$E$6*'2. Inputs'!$C$61</f>
        <v>303.1</v>
      </c>
      <c r="C6" s="53" t="n">
        <f aca="false">25+B6*'2. Inputs'!$C$48</f>
        <v>35.69943</v>
      </c>
      <c r="D6" s="53" t="n">
        <f aca="false">B6-C6</f>
        <v>267.40057</v>
      </c>
      <c r="E6" s="55" t="n">
        <f aca="false">'4. Fixed Costs'!$B$12</f>
        <v>5000</v>
      </c>
      <c r="F6" s="78" t="n">
        <f aca="false">IF(D6&lt;=0,9999,E6/D6)</f>
        <v>18.6985390494867</v>
      </c>
      <c r="G6" s="77" t="n">
        <f aca="false">F6/'2. Inputs'!$C$54</f>
        <v>1.55821158745722</v>
      </c>
    </row>
    <row r="7" customFormat="false" ht="15" hidden="false" customHeight="true" outlineLevel="0" collapsed="false">
      <c r="A7" s="82" t="s">
        <v>415</v>
      </c>
      <c r="B7" s="83" t="n">
        <f aca="false">'5. Unit Economics'!$B$6*'2. Inputs'!$C$58+'5. Unit Economics'!$C$6*'2. Inputs'!$C$59+'5. Unit Economics'!$D$6*'2. Inputs'!$C$60+'5. Unit Economics'!$E$6*'2. Inputs'!$C$61</f>
        <v>303.1</v>
      </c>
      <c r="C7" s="84" t="n">
        <f aca="false">35+B7*'2. Inputs'!$C$48</f>
        <v>45.69943</v>
      </c>
      <c r="D7" s="84" t="n">
        <f aca="false">B7-C7</f>
        <v>257.40057</v>
      </c>
      <c r="E7" s="85" t="n">
        <f aca="false">'4. Fixed Costs'!$B$12</f>
        <v>5000</v>
      </c>
      <c r="F7" s="86" t="n">
        <f aca="false">IF(D7&lt;=0,9999,E7/D7)</f>
        <v>19.4249764093374</v>
      </c>
      <c r="G7" s="87" t="n">
        <f aca="false">F7/'2. Inputs'!$C$54</f>
        <v>1.61874803411145</v>
      </c>
    </row>
    <row r="8" customFormat="false" ht="15" hidden="false" customHeight="true" outlineLevel="0" collapsed="false">
      <c r="A8" s="10" t="s">
        <v>416</v>
      </c>
      <c r="B8" s="61" t="n">
        <f aca="false">'5. Unit Economics'!$B$6*'2. Inputs'!$C$58+'5. Unit Economics'!$C$6*'2. Inputs'!$C$59+'5. Unit Economics'!$D$6*'2. Inputs'!$C$60+'5. Unit Economics'!$E$6*'2. Inputs'!$C$61</f>
        <v>303.1</v>
      </c>
      <c r="C8" s="53" t="n">
        <f aca="false">50+B8*'2. Inputs'!$C$48</f>
        <v>60.69943</v>
      </c>
      <c r="D8" s="53" t="n">
        <f aca="false">B8-C8</f>
        <v>242.40057</v>
      </c>
      <c r="E8" s="55" t="n">
        <f aca="false">'4. Fixed Costs'!$B$12</f>
        <v>5000</v>
      </c>
      <c r="F8" s="78" t="n">
        <f aca="false">IF(D8&lt;=0,9999,E8/D8)</f>
        <v>20.6270142021531</v>
      </c>
      <c r="G8" s="77" t="n">
        <f aca="false">F8/'2. Inputs'!$C$54</f>
        <v>1.71891785017942</v>
      </c>
    </row>
    <row r="9" customFormat="false" ht="15" hidden="false" customHeight="true" outlineLevel="0" collapsed="false">
      <c r="A9" s="10" t="s">
        <v>417</v>
      </c>
      <c r="B9" s="61" t="n">
        <f aca="false">'5. Unit Economics'!$B$6*'2. Inputs'!$C$58+'5. Unit Economics'!$C$6*'2. Inputs'!$C$59+'5. Unit Economics'!$D$6*'2. Inputs'!$C$60+'5. Unit Economics'!$E$6*'2. Inputs'!$C$61</f>
        <v>303.1</v>
      </c>
      <c r="C9" s="53" t="n">
        <f aca="false">70+B9*'2. Inputs'!$C$48</f>
        <v>80.69943</v>
      </c>
      <c r="D9" s="53" t="n">
        <f aca="false">B9-C9</f>
        <v>222.40057</v>
      </c>
      <c r="E9" s="55" t="n">
        <f aca="false">'4. Fixed Costs'!$B$12</f>
        <v>5000</v>
      </c>
      <c r="F9" s="78" t="n">
        <f aca="false">IF(D9&lt;=0,9999,E9/D9)</f>
        <v>22.4819567683662</v>
      </c>
      <c r="G9" s="77" t="n">
        <f aca="false">F9/'2. Inputs'!$C$54</f>
        <v>1.87349639736385</v>
      </c>
    </row>
    <row r="10" customFormat="false" ht="15" hidden="false" customHeight="true" outlineLevel="0" collapsed="false">
      <c r="A10" s="10" t="s">
        <v>418</v>
      </c>
      <c r="B10" s="61" t="n">
        <f aca="false">'5. Unit Economics'!$B$6*'2. Inputs'!$C$58+'5. Unit Economics'!$C$6*'2. Inputs'!$C$59+'5. Unit Economics'!$D$6*'2. Inputs'!$C$60+'5. Unit Economics'!$E$6*'2. Inputs'!$C$61</f>
        <v>303.1</v>
      </c>
      <c r="C10" s="53" t="n">
        <f aca="false">100+B10*'2. Inputs'!$C$48</f>
        <v>110.69943</v>
      </c>
      <c r="D10" s="53" t="n">
        <f aca="false">B10-C10</f>
        <v>192.40057</v>
      </c>
      <c r="E10" s="55" t="n">
        <f aca="false">'4. Fixed Costs'!$B$12</f>
        <v>5000</v>
      </c>
      <c r="F10" s="78" t="n">
        <f aca="false">IF(D10&lt;=0,9999,E10/D10)</f>
        <v>25.9874489976823</v>
      </c>
      <c r="G10" s="77" t="n">
        <f aca="false">F10/'2. Inputs'!$C$54</f>
        <v>2.16562074980686</v>
      </c>
    </row>
    <row r="13" customFormat="false" ht="21.75" hidden="false" customHeight="true" outlineLevel="0" collapsed="false">
      <c r="A13" s="41" t="s">
        <v>419</v>
      </c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A14" s="9" t="s">
        <v>420</v>
      </c>
      <c r="B14" s="88" t="s">
        <v>421</v>
      </c>
    </row>
    <row r="15" customFormat="false" ht="15" hidden="false" customHeight="true" outlineLevel="0" collapsed="false">
      <c r="A15" s="9" t="s">
        <v>422</v>
      </c>
      <c r="B15" s="9" t="str">
        <f aca="false">G7 &amp; " users at ₹35/order AI cost"</f>
        <v>1.61874803411145 users at ₹35/order AI cost</v>
      </c>
    </row>
    <row r="16" customFormat="false" ht="15" hidden="false" customHeight="true" outlineLevel="0" collapsed="false">
      <c r="A16" s="38" t="s">
        <v>423</v>
      </c>
      <c r="B16" s="39" t="s">
        <v>424</v>
      </c>
      <c r="C16" s="39"/>
      <c r="D16" s="39"/>
      <c r="E16" s="39"/>
      <c r="F16" s="39"/>
      <c r="G16" s="39"/>
    </row>
  </sheetData>
  <mergeCells count="4">
    <mergeCell ref="A1:G1"/>
    <mergeCell ref="A3:G3"/>
    <mergeCell ref="A13:G13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" t="s">
        <v>425</v>
      </c>
      <c r="B1" s="2"/>
      <c r="C1" s="2"/>
      <c r="D1" s="2"/>
      <c r="E1" s="2"/>
    </row>
    <row r="3" customFormat="false" ht="21.75" hidden="false" customHeight="true" outlineLevel="0" collapsed="false">
      <c r="A3" s="41" t="s">
        <v>426</v>
      </c>
      <c r="B3" s="41"/>
      <c r="C3" s="41"/>
      <c r="D3" s="41"/>
      <c r="E3" s="41"/>
    </row>
    <row r="4" customFormat="false" ht="15" hidden="false" customHeight="true" outlineLevel="0" collapsed="false">
      <c r="A4" s="10" t="s">
        <v>427</v>
      </c>
      <c r="B4" s="60" t="n">
        <f aca="false">'2. Inputs'!$C$66</f>
        <v>4</v>
      </c>
      <c r="C4" s="10" t="s">
        <v>169</v>
      </c>
      <c r="D4" s="31" t="s">
        <v>174</v>
      </c>
    </row>
    <row r="5" customFormat="false" ht="15" hidden="false" customHeight="true" outlineLevel="0" collapsed="false">
      <c r="A5" s="10" t="s">
        <v>428</v>
      </c>
      <c r="B5" s="61" t="n">
        <f aca="false">'2. Inputs'!$C$65</f>
        <v>500</v>
      </c>
      <c r="C5" s="10" t="s">
        <v>171</v>
      </c>
      <c r="D5" s="31" t="s">
        <v>172</v>
      </c>
    </row>
    <row r="6" customFormat="false" ht="15" hidden="false" customHeight="true" outlineLevel="0" collapsed="false">
      <c r="A6" s="10" t="s">
        <v>429</v>
      </c>
      <c r="B6" s="44" t="n">
        <f aca="false">'2. Inputs'!$C$66*'2. Inputs'!$C$65</f>
        <v>2000</v>
      </c>
      <c r="C6" s="10" t="s">
        <v>122</v>
      </c>
      <c r="D6" s="31" t="s">
        <v>430</v>
      </c>
    </row>
    <row r="7" customFormat="false" ht="15" hidden="false" customHeight="true" outlineLevel="0" collapsed="false">
      <c r="A7" s="10" t="s">
        <v>431</v>
      </c>
      <c r="B7" s="44" t="n">
        <f aca="false">'2. Inputs'!$C$55*'3. API Cost Reality'!$E$21/'2. Inputs'!$C$56</f>
        <v>142.70256</v>
      </c>
      <c r="C7" s="10" t="s">
        <v>122</v>
      </c>
      <c r="D7" s="31" t="s">
        <v>432</v>
      </c>
    </row>
    <row r="8" customFormat="false" ht="15" hidden="false" customHeight="true" outlineLevel="0" collapsed="false">
      <c r="A8" s="10" t="s">
        <v>433</v>
      </c>
      <c r="B8" s="74" t="n">
        <f aca="false">B6+B7</f>
        <v>2142.70256</v>
      </c>
      <c r="C8" s="10" t="s">
        <v>122</v>
      </c>
      <c r="D8" s="31" t="s">
        <v>434</v>
      </c>
    </row>
    <row r="11" customFormat="false" ht="21.75" hidden="false" customHeight="true" outlineLevel="0" collapsed="false">
      <c r="A11" s="41" t="s">
        <v>435</v>
      </c>
      <c r="B11" s="41"/>
      <c r="C11" s="41"/>
      <c r="D11" s="41"/>
      <c r="E11" s="41"/>
    </row>
    <row r="12" customFormat="false" ht="15" hidden="false" customHeight="true" outlineLevel="0" collapsed="false">
      <c r="A12" s="10" t="s">
        <v>150</v>
      </c>
      <c r="B12" s="60" t="n">
        <f aca="false">'2. Inputs'!$C$54</f>
        <v>12</v>
      </c>
      <c r="C12" s="10" t="s">
        <v>436</v>
      </c>
      <c r="D12" s="31"/>
    </row>
    <row r="13" customFormat="false" ht="15" hidden="false" customHeight="true" outlineLevel="0" collapsed="false">
      <c r="A13" s="10" t="s">
        <v>437</v>
      </c>
      <c r="B13" s="60" t="n">
        <f aca="false">'2. Inputs'!$C$57</f>
        <v>9</v>
      </c>
      <c r="C13" s="10" t="s">
        <v>157</v>
      </c>
      <c r="D13" s="31" t="s">
        <v>438</v>
      </c>
    </row>
    <row r="14" customFormat="false" ht="15" hidden="false" customHeight="true" outlineLevel="0" collapsed="false">
      <c r="A14" s="10" t="s">
        <v>439</v>
      </c>
      <c r="B14" s="72" t="n">
        <f aca="false">B12*B13</f>
        <v>108</v>
      </c>
      <c r="C14" s="10" t="s">
        <v>125</v>
      </c>
      <c r="D14" s="31" t="s">
        <v>440</v>
      </c>
    </row>
    <row r="15" customFormat="false" ht="15" hidden="false" customHeight="true" outlineLevel="0" collapsed="false">
      <c r="A15" s="10" t="s">
        <v>407</v>
      </c>
      <c r="B15" s="61" t="n">
        <f aca="false">'5. Unit Economics'!$B$6*'2. Inputs'!$C$58+'5. Unit Economics'!$C$6*'2. Inputs'!$C$59+'5. Unit Economics'!$D$6*'2. Inputs'!$C$60+'5. Unit Economics'!$E$6*'2. Inputs'!$C$61</f>
        <v>303.1</v>
      </c>
      <c r="C15" s="10" t="s">
        <v>122</v>
      </c>
      <c r="D15" s="31" t="s">
        <v>441</v>
      </c>
    </row>
    <row r="16" customFormat="false" ht="15" hidden="false" customHeight="true" outlineLevel="0" collapsed="false">
      <c r="A16" s="10" t="s">
        <v>442</v>
      </c>
      <c r="B16" s="61" t="n">
        <f aca="false">'5. Unit Economics'!$B$12*'2. Inputs'!$C$58+'5. Unit Economics'!$C$12*'2. Inputs'!$C$59+'5. Unit Economics'!$D$12*'2. Inputs'!$C$60+'5. Unit Economics'!$E$12*'2. Inputs'!$C$61</f>
        <v>183.930073705263</v>
      </c>
      <c r="C16" s="10" t="s">
        <v>122</v>
      </c>
      <c r="D16" s="31" t="s">
        <v>443</v>
      </c>
    </row>
    <row r="17" customFormat="false" ht="15" hidden="false" customHeight="true" outlineLevel="0" collapsed="false">
      <c r="A17" s="10" t="s">
        <v>444</v>
      </c>
      <c r="B17" s="63" t="n">
        <f aca="false">B14*B16</f>
        <v>19864.4479601684</v>
      </c>
      <c r="C17" s="10" t="s">
        <v>122</v>
      </c>
      <c r="D17" s="31" t="s">
        <v>445</v>
      </c>
    </row>
    <row r="19" customFormat="false" ht="21.75" hidden="false" customHeight="true" outlineLevel="0" collapsed="false">
      <c r="A19" s="41" t="s">
        <v>446</v>
      </c>
      <c r="B19" s="41"/>
      <c r="C19" s="41"/>
      <c r="D19" s="41"/>
      <c r="E19" s="41"/>
    </row>
    <row r="20" customFormat="false" ht="15" hidden="false" customHeight="true" outlineLevel="0" collapsed="false">
      <c r="A20" s="9" t="s">
        <v>447</v>
      </c>
      <c r="B20" s="89" t="n">
        <f aca="false">B17/B8</f>
        <v>9.27074449389206</v>
      </c>
    </row>
    <row r="21" customFormat="false" ht="15" hidden="false" customHeight="true" outlineLevel="0" collapsed="false">
      <c r="A21" s="10" t="s">
        <v>448</v>
      </c>
      <c r="B21" s="88" t="s">
        <v>449</v>
      </c>
    </row>
    <row r="22" customFormat="false" ht="15" hidden="false" customHeight="true" outlineLevel="0" collapsed="false">
      <c r="A22" s="9" t="s">
        <v>450</v>
      </c>
      <c r="B22" s="56" t="str">
        <f aca="false">IF(B20&gt;=3,"Healthy",IF(B20&gt;=1,"Marginal — improve CAC or LTV","Unsustainable"))</f>
        <v>Healthy</v>
      </c>
    </row>
  </sheetData>
  <mergeCells count="4">
    <mergeCell ref="A1:E1"/>
    <mergeCell ref="A3:E3"/>
    <mergeCell ref="A11:E1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27.75" hidden="false" customHeight="true" outlineLevel="0" collapsed="false">
      <c r="A1" s="2" t="s">
        <v>451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68" t="s">
        <v>452</v>
      </c>
      <c r="B3" s="68"/>
      <c r="C3" s="68"/>
      <c r="D3" s="68"/>
      <c r="E3" s="68"/>
      <c r="F3" s="68"/>
    </row>
    <row r="4" customFormat="false" ht="15" hidden="false" customHeight="true" outlineLevel="0" collapsed="false">
      <c r="A4" s="39" t="s">
        <v>453</v>
      </c>
      <c r="B4" s="39"/>
      <c r="C4" s="39"/>
      <c r="D4" s="39"/>
      <c r="E4" s="39"/>
      <c r="F4" s="39"/>
    </row>
    <row r="5" customFormat="false" ht="15" hidden="false" customHeight="true" outlineLevel="0" collapsed="false"/>
    <row r="6" customFormat="false" ht="15" hidden="false" customHeight="true" outlineLevel="0" collapsed="false">
      <c r="A6" s="42" t="s">
        <v>454</v>
      </c>
      <c r="B6" s="42" t="s">
        <v>455</v>
      </c>
      <c r="C6" s="90" t="s">
        <v>456</v>
      </c>
      <c r="D6" s="90" t="s">
        <v>457</v>
      </c>
      <c r="E6" s="90" t="s">
        <v>458</v>
      </c>
      <c r="F6" s="90" t="s">
        <v>230</v>
      </c>
    </row>
    <row r="7" customFormat="false" ht="15" hidden="false" customHeight="true" outlineLevel="0" collapsed="false">
      <c r="A7" s="58" t="s">
        <v>459</v>
      </c>
      <c r="B7" s="91" t="n">
        <v>1</v>
      </c>
      <c r="C7" s="92" t="n">
        <v>0</v>
      </c>
      <c r="D7" s="93" t="n">
        <v>0</v>
      </c>
      <c r="E7" s="58" t="s">
        <v>460</v>
      </c>
      <c r="F7" s="94" t="s">
        <v>461</v>
      </c>
    </row>
    <row r="8" customFormat="false" ht="21.75" hidden="false" customHeight="true" outlineLevel="0" collapsed="false">
      <c r="A8" s="58" t="s">
        <v>462</v>
      </c>
      <c r="B8" s="95" t="n">
        <v>3</v>
      </c>
      <c r="C8" s="96" t="n">
        <v>999</v>
      </c>
      <c r="D8" s="97" t="n">
        <v>333</v>
      </c>
      <c r="E8" s="98" t="s">
        <v>460</v>
      </c>
      <c r="F8" s="99" t="s">
        <v>463</v>
      </c>
    </row>
    <row r="9" customFormat="false" ht="15" hidden="false" customHeight="true" outlineLevel="0" collapsed="false">
      <c r="A9" s="58" t="s">
        <v>464</v>
      </c>
      <c r="B9" s="91" t="n">
        <v>5</v>
      </c>
      <c r="C9" s="92" t="n">
        <v>1499</v>
      </c>
      <c r="D9" s="93" t="n">
        <v>300</v>
      </c>
      <c r="E9" s="58" t="s">
        <v>460</v>
      </c>
      <c r="F9" s="94" t="s">
        <v>465</v>
      </c>
    </row>
    <row r="10" customFormat="false" ht="15" hidden="false" customHeight="true" outlineLevel="0" collapsed="false">
      <c r="A10" s="58" t="s">
        <v>466</v>
      </c>
      <c r="B10" s="91" t="n">
        <v>10</v>
      </c>
      <c r="C10" s="92" t="n">
        <v>2499</v>
      </c>
      <c r="D10" s="93" t="n">
        <v>250</v>
      </c>
      <c r="E10" s="58" t="s">
        <v>460</v>
      </c>
      <c r="F10" s="94" t="s">
        <v>467</v>
      </c>
    </row>
    <row r="11" customFormat="false" ht="15" hidden="false" customHeight="true" outlineLevel="0" collapsed="false">
      <c r="A11" s="100" t="s">
        <v>468</v>
      </c>
      <c r="B11" s="101" t="n">
        <v>25</v>
      </c>
      <c r="C11" s="102" t="n">
        <v>4999</v>
      </c>
      <c r="D11" s="103" t="n">
        <v>200</v>
      </c>
      <c r="E11" s="100" t="s">
        <v>469</v>
      </c>
      <c r="F11" s="104" t="s">
        <v>470</v>
      </c>
    </row>
    <row r="12" customFormat="false" ht="15" hidden="false" customHeight="true" outlineLevel="0" collapsed="false">
      <c r="A12" s="100" t="s">
        <v>471</v>
      </c>
      <c r="B12" s="101" t="n">
        <v>50</v>
      </c>
      <c r="C12" s="102" t="n">
        <v>8999</v>
      </c>
      <c r="D12" s="103" t="n">
        <v>180</v>
      </c>
      <c r="E12" s="100" t="s">
        <v>469</v>
      </c>
      <c r="F12" s="104" t="s">
        <v>472</v>
      </c>
    </row>
    <row r="13" customFormat="false" ht="21.75" hidden="false" customHeight="true" outlineLevel="0" collapsed="false">
      <c r="A13" s="105"/>
      <c r="B13" s="105"/>
      <c r="C13" s="105"/>
      <c r="D13" s="105"/>
      <c r="E13" s="105"/>
      <c r="F13" s="105"/>
    </row>
    <row r="14" customFormat="false" ht="15" hidden="false" customHeight="true" outlineLevel="0" collapsed="false">
      <c r="A14" s="40" t="s">
        <v>473</v>
      </c>
      <c r="B14" s="40"/>
      <c r="C14" s="40"/>
      <c r="D14" s="40"/>
      <c r="E14" s="40"/>
      <c r="F14" s="40"/>
    </row>
    <row r="15" customFormat="false" ht="15" hidden="false" customHeight="true" outlineLevel="0" collapsed="false">
      <c r="A15" s="106" t="s">
        <v>474</v>
      </c>
      <c r="B15" s="106"/>
      <c r="C15" s="106"/>
      <c r="D15" s="106"/>
      <c r="E15" s="106"/>
      <c r="F15" s="106"/>
    </row>
    <row r="16" customFormat="false" ht="15" hidden="false" customHeight="true" outlineLevel="0" collapsed="false">
      <c r="A16" s="106" t="s">
        <v>475</v>
      </c>
      <c r="B16" s="106"/>
      <c r="C16" s="106"/>
      <c r="D16" s="106"/>
      <c r="E16" s="106"/>
      <c r="F16" s="106"/>
    </row>
    <row r="17" customFormat="false" ht="15" hidden="false" customHeight="true" outlineLevel="0" collapsed="false"/>
    <row r="18" customFormat="false" ht="15" hidden="false" customHeight="true" outlineLevel="0" collapsed="false">
      <c r="A18" s="107" t="s">
        <v>476</v>
      </c>
      <c r="B18" s="107"/>
      <c r="C18" s="107"/>
      <c r="D18" s="107"/>
      <c r="E18" s="107"/>
      <c r="F18" s="107"/>
    </row>
    <row r="19" customFormat="false" ht="21.75" hidden="false" customHeight="true" outlineLevel="0" collapsed="false">
      <c r="A19" s="105"/>
      <c r="B19" s="105"/>
      <c r="C19" s="105"/>
      <c r="D19" s="105"/>
      <c r="E19" s="105"/>
      <c r="F19" s="105"/>
    </row>
    <row r="20" customFormat="false" ht="15" hidden="false" customHeight="true" outlineLevel="0" collapsed="false">
      <c r="A20" s="40" t="s">
        <v>477</v>
      </c>
      <c r="B20" s="40"/>
      <c r="C20" s="40"/>
      <c r="D20" s="40"/>
      <c r="E20" s="40"/>
      <c r="F20" s="40"/>
    </row>
    <row r="21" customFormat="false" ht="15" hidden="false" customHeight="true" outlineLevel="0" collapsed="false">
      <c r="A21" s="108" t="s">
        <v>478</v>
      </c>
      <c r="B21" s="108"/>
      <c r="C21" s="108"/>
      <c r="D21" s="108"/>
      <c r="E21" s="108"/>
      <c r="F21" s="108"/>
    </row>
    <row r="22" customFormat="false" ht="15" hidden="false" customHeight="true" outlineLevel="0" collapsed="false">
      <c r="A22" s="39" t="s">
        <v>479</v>
      </c>
      <c r="B22" s="39"/>
      <c r="C22" s="39"/>
      <c r="D22" s="39"/>
      <c r="E22" s="39"/>
      <c r="F22" s="39"/>
    </row>
    <row r="23" customFormat="false" ht="15" hidden="false" customHeight="true" outlineLevel="0" collapsed="false">
      <c r="A23" s="109" t="s">
        <v>480</v>
      </c>
      <c r="B23" s="109"/>
      <c r="C23" s="109"/>
      <c r="D23" s="109"/>
      <c r="E23" s="109"/>
      <c r="F23" s="109"/>
    </row>
    <row r="24" customFormat="false" ht="15" hidden="false" customHeight="true" outlineLevel="0" collapsed="false">
      <c r="A24" s="39" t="s">
        <v>481</v>
      </c>
      <c r="B24" s="39"/>
      <c r="C24" s="39"/>
      <c r="D24" s="39"/>
      <c r="E24" s="39"/>
      <c r="F24" s="39"/>
    </row>
    <row r="25" customFormat="false" ht="15" hidden="false" customHeight="true" outlineLevel="0" collapsed="false">
      <c r="A25" s="105"/>
      <c r="B25" s="105"/>
    </row>
    <row r="26" customFormat="false" ht="15" hidden="false" customHeight="true" outlineLevel="0" collapsed="false">
      <c r="A26" s="12" t="s">
        <v>482</v>
      </c>
    </row>
    <row r="27" customFormat="false" ht="15" hidden="false" customHeight="true" outlineLevel="0" collapsed="false">
      <c r="A27" s="1" t="s">
        <v>483</v>
      </c>
      <c r="B27" s="1" t="s">
        <v>484</v>
      </c>
    </row>
    <row r="28" customFormat="false" ht="15" hidden="false" customHeight="true" outlineLevel="0" collapsed="false">
      <c r="A28" s="1" t="s">
        <v>485</v>
      </c>
      <c r="B28" s="1" t="s">
        <v>486</v>
      </c>
    </row>
    <row r="29" customFormat="false" ht="15" hidden="false" customHeight="true" outlineLevel="0" collapsed="false">
      <c r="A29" s="1" t="s">
        <v>487</v>
      </c>
      <c r="B29" s="1" t="s">
        <v>488</v>
      </c>
    </row>
    <row r="30" customFormat="false" ht="15" hidden="false" customHeight="true" outlineLevel="0" collapsed="false"/>
    <row r="31" customFormat="false" ht="15" hidden="false" customHeight="true" outlineLevel="0" collapsed="false">
      <c r="A31" s="12" t="s">
        <v>489</v>
      </c>
    </row>
    <row r="32" customFormat="false" ht="15" hidden="false" customHeight="true" outlineLevel="0" collapsed="false">
      <c r="A32" s="1" t="s">
        <v>490</v>
      </c>
      <c r="B32" s="1" t="s">
        <v>491</v>
      </c>
    </row>
    <row r="33" customFormat="false" ht="15" hidden="false" customHeight="true" outlineLevel="0" collapsed="false">
      <c r="A33" s="1" t="s">
        <v>492</v>
      </c>
      <c r="B33" s="1" t="s">
        <v>493</v>
      </c>
    </row>
    <row r="34" customFormat="false" ht="15" hidden="false" customHeight="true" outlineLevel="0" collapsed="false">
      <c r="A34" s="1" t="s">
        <v>494</v>
      </c>
      <c r="B34" s="1" t="s">
        <v>495</v>
      </c>
    </row>
    <row r="35" customFormat="false" ht="15" hidden="false" customHeight="true" outlineLevel="0" collapsed="false">
      <c r="A35" s="9" t="s">
        <v>496</v>
      </c>
      <c r="B35" s="110" t="s">
        <v>497</v>
      </c>
    </row>
    <row r="37" customFormat="false" ht="26.25" hidden="false" customHeight="true" outlineLevel="0" collapsed="false">
      <c r="A37" s="12" t="s">
        <v>498</v>
      </c>
    </row>
    <row r="38" customFormat="false" ht="15" hidden="false" customHeight="true" outlineLevel="0" collapsed="false">
      <c r="A38" s="1" t="s">
        <v>499</v>
      </c>
      <c r="B38" s="1" t="s">
        <v>500</v>
      </c>
    </row>
    <row r="39" customFormat="false" ht="15" hidden="false" customHeight="true" outlineLevel="0" collapsed="false">
      <c r="A39" s="1" t="s">
        <v>501</v>
      </c>
      <c r="B39" s="1" t="s">
        <v>502</v>
      </c>
    </row>
    <row r="40" customFormat="false" ht="15" hidden="false" customHeight="true" outlineLevel="0" collapsed="false">
      <c r="A40" s="1" t="s">
        <v>278</v>
      </c>
      <c r="B40" s="1" t="s">
        <v>503</v>
      </c>
    </row>
    <row r="41" customFormat="false" ht="15" hidden="false" customHeight="true" outlineLevel="0" collapsed="false">
      <c r="A41" s="9" t="s">
        <v>504</v>
      </c>
      <c r="B41" s="111" t="s">
        <v>505</v>
      </c>
    </row>
    <row r="43" customFormat="false" ht="15" hidden="false" customHeight="true" outlineLevel="0" collapsed="false">
      <c r="A43" s="112" t="s">
        <v>506</v>
      </c>
    </row>
    <row r="44" customFormat="false" ht="15" hidden="false" customHeight="true" outlineLevel="0" collapsed="false">
      <c r="A44" s="10" t="s">
        <v>507</v>
      </c>
      <c r="B44" s="10" t="s">
        <v>508</v>
      </c>
    </row>
    <row r="45" customFormat="false" ht="15" hidden="false" customHeight="true" outlineLevel="0" collapsed="false">
      <c r="A45" s="10" t="s">
        <v>509</v>
      </c>
      <c r="B45" s="61" t="n">
        <f aca="false">'3. API Cost Reality'!$E$22</f>
        <v>56.3299578947368</v>
      </c>
    </row>
    <row r="46" customFormat="false" ht="15" hidden="false" customHeight="true" outlineLevel="0" collapsed="false">
      <c r="A46" s="10" t="s">
        <v>510</v>
      </c>
      <c r="B46" s="61" t="s">
        <v>511</v>
      </c>
    </row>
    <row r="47" customFormat="false" ht="15" hidden="false" customHeight="true" outlineLevel="0" collapsed="false">
      <c r="A47" s="58" t="s">
        <v>512</v>
      </c>
      <c r="B47" s="113" t="s">
        <v>513</v>
      </c>
    </row>
    <row r="48" customFormat="false" ht="15" hidden="false" customHeight="true" outlineLevel="0" collapsed="false">
      <c r="A48" s="10" t="s">
        <v>514</v>
      </c>
      <c r="B48" s="10" t="s">
        <v>515</v>
      </c>
    </row>
    <row r="49" customFormat="false" ht="15" hidden="false" customHeight="true" outlineLevel="0" collapsed="false">
      <c r="A49" s="9" t="s">
        <v>516</v>
      </c>
      <c r="B49" s="10" t="s">
        <v>517</v>
      </c>
    </row>
    <row r="50" customFormat="false" ht="15" hidden="false" customHeight="true" outlineLevel="0" collapsed="false">
      <c r="A50" s="10" t="s">
        <v>518</v>
      </c>
      <c r="B50" s="10" t="s">
        <v>519</v>
      </c>
    </row>
  </sheetData>
  <mergeCells count="15">
    <mergeCell ref="A1:F1"/>
    <mergeCell ref="A3:F3"/>
    <mergeCell ref="A4:F4"/>
    <mergeCell ref="A13:F13"/>
    <mergeCell ref="A14:F14"/>
    <mergeCell ref="A15:F15"/>
    <mergeCell ref="A16:F16"/>
    <mergeCell ref="A18:F18"/>
    <mergeCell ref="A19:F19"/>
    <mergeCell ref="A20:F20"/>
    <mergeCell ref="A21:F21"/>
    <mergeCell ref="A22:F22"/>
    <mergeCell ref="A23:F23"/>
    <mergeCell ref="A24:F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0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27.75" hidden="false" customHeight="true" outlineLevel="0" collapsed="false">
      <c r="A1" s="2" t="s">
        <v>520</v>
      </c>
      <c r="B1" s="2"/>
      <c r="C1" s="2"/>
      <c r="D1" s="2"/>
    </row>
    <row r="3" customFormat="false" ht="15" hidden="false" customHeight="true" outlineLevel="0" collapsed="false">
      <c r="A3" s="42" t="s">
        <v>521</v>
      </c>
      <c r="B3" s="42" t="s">
        <v>522</v>
      </c>
      <c r="C3" s="42" t="s">
        <v>523</v>
      </c>
      <c r="D3" s="42" t="s">
        <v>524</v>
      </c>
    </row>
    <row r="4" customFormat="false" ht="75" hidden="false" customHeight="true" outlineLevel="0" collapsed="false">
      <c r="A4" s="114" t="s">
        <v>525</v>
      </c>
      <c r="B4" s="3" t="s">
        <v>526</v>
      </c>
      <c r="C4" s="115" t="s">
        <v>527</v>
      </c>
      <c r="D4" s="4" t="s">
        <v>528</v>
      </c>
    </row>
    <row r="5" customFormat="false" ht="60" hidden="false" customHeight="true" outlineLevel="0" collapsed="false"/>
    <row r="6" customFormat="false" ht="60" hidden="false" customHeight="true" outlineLevel="0" collapsed="false">
      <c r="A6" s="114" t="n">
        <v>1</v>
      </c>
      <c r="B6" s="4" t="s">
        <v>529</v>
      </c>
      <c r="C6" s="116" t="s">
        <v>530</v>
      </c>
      <c r="D6" s="4" t="s">
        <v>531</v>
      </c>
    </row>
    <row r="7" customFormat="false" ht="60" hidden="false" customHeight="true" outlineLevel="0" collapsed="false">
      <c r="A7" s="114" t="n">
        <v>2</v>
      </c>
      <c r="B7" s="4" t="s">
        <v>532</v>
      </c>
      <c r="C7" s="117" t="s">
        <v>533</v>
      </c>
      <c r="D7" s="4" t="s">
        <v>534</v>
      </c>
    </row>
    <row r="8" customFormat="false" ht="60" hidden="false" customHeight="true" outlineLevel="0" collapsed="false">
      <c r="A8" s="114" t="n">
        <v>3</v>
      </c>
      <c r="B8" s="4" t="s">
        <v>535</v>
      </c>
      <c r="C8" s="117" t="s">
        <v>533</v>
      </c>
      <c r="D8" s="4" t="s">
        <v>536</v>
      </c>
    </row>
    <row r="9" customFormat="false" ht="60" hidden="false" customHeight="true" outlineLevel="0" collapsed="false">
      <c r="A9" s="114" t="n">
        <v>4</v>
      </c>
      <c r="B9" s="4" t="s">
        <v>537</v>
      </c>
      <c r="C9" s="118" t="s">
        <v>538</v>
      </c>
      <c r="D9" s="4" t="s">
        <v>539</v>
      </c>
    </row>
    <row r="10" customFormat="false" ht="60" hidden="false" customHeight="true" outlineLevel="0" collapsed="false">
      <c r="A10" s="114" t="n">
        <v>5</v>
      </c>
      <c r="B10" s="4" t="s">
        <v>540</v>
      </c>
      <c r="C10" s="118" t="s">
        <v>538</v>
      </c>
      <c r="D10" s="4" t="s">
        <v>541</v>
      </c>
    </row>
    <row r="11" customFormat="false" ht="60" hidden="false" customHeight="true" outlineLevel="0" collapsed="false">
      <c r="A11" s="114" t="n">
        <v>6</v>
      </c>
      <c r="B11" s="4" t="s">
        <v>542</v>
      </c>
      <c r="C11" s="118" t="s">
        <v>538</v>
      </c>
      <c r="D11" s="4" t="s">
        <v>543</v>
      </c>
    </row>
    <row r="12" customFormat="false" ht="60" hidden="false" customHeight="true" outlineLevel="0" collapsed="false">
      <c r="A12" s="114" t="n">
        <v>7</v>
      </c>
      <c r="B12" s="4" t="s">
        <v>544</v>
      </c>
      <c r="C12" s="118" t="s">
        <v>538</v>
      </c>
      <c r="D12" s="4" t="s">
        <v>545</v>
      </c>
    </row>
    <row r="13" customFormat="false" ht="60" hidden="false" customHeight="true" outlineLevel="0" collapsed="false">
      <c r="A13" s="114" t="n">
        <v>8</v>
      </c>
      <c r="B13" s="4" t="s">
        <v>546</v>
      </c>
      <c r="C13" s="118" t="s">
        <v>538</v>
      </c>
      <c r="D13" s="4" t="s">
        <v>547</v>
      </c>
    </row>
    <row r="14" customFormat="false" ht="60" hidden="false" customHeight="true" outlineLevel="0" collapsed="false">
      <c r="A14" s="114" t="n">
        <v>9</v>
      </c>
      <c r="B14" s="4" t="s">
        <v>548</v>
      </c>
      <c r="C14" s="118" t="s">
        <v>538</v>
      </c>
      <c r="D14" s="4" t="s">
        <v>549</v>
      </c>
    </row>
    <row r="15" customFormat="false" ht="60" hidden="false" customHeight="true" outlineLevel="0" collapsed="false">
      <c r="A15" s="114" t="n">
        <v>10</v>
      </c>
      <c r="B15" s="4" t="s">
        <v>550</v>
      </c>
      <c r="C15" s="115" t="s">
        <v>551</v>
      </c>
      <c r="D15" s="4" t="s">
        <v>552</v>
      </c>
    </row>
    <row r="16" customFormat="false" ht="75" hidden="false" customHeight="true" outlineLevel="0" collapsed="false">
      <c r="A16" s="114" t="n">
        <v>11</v>
      </c>
      <c r="B16" s="4" t="s">
        <v>553</v>
      </c>
      <c r="C16" s="115" t="s">
        <v>551</v>
      </c>
      <c r="D16" s="4" t="s">
        <v>554</v>
      </c>
    </row>
    <row r="17" customFormat="false" ht="75" hidden="false" customHeight="true" outlineLevel="0" collapsed="false">
      <c r="A17" s="114" t="n">
        <v>12</v>
      </c>
      <c r="B17" s="4" t="s">
        <v>555</v>
      </c>
      <c r="C17" s="116" t="s">
        <v>556</v>
      </c>
      <c r="D17" s="4" t="s">
        <v>557</v>
      </c>
    </row>
    <row r="18" customFormat="false" ht="75" hidden="false" customHeight="true" outlineLevel="0" collapsed="false">
      <c r="A18" s="114" t="n">
        <v>13</v>
      </c>
      <c r="B18" s="4" t="s">
        <v>558</v>
      </c>
      <c r="C18" s="116" t="s">
        <v>530</v>
      </c>
      <c r="D18" s="4" t="s">
        <v>559</v>
      </c>
    </row>
    <row r="19" customFormat="false" ht="75" hidden="false" customHeight="true" outlineLevel="0" collapsed="false">
      <c r="A19" s="114" t="n">
        <v>14</v>
      </c>
      <c r="B19" s="4" t="s">
        <v>560</v>
      </c>
      <c r="C19" s="117" t="s">
        <v>533</v>
      </c>
      <c r="D19" s="4" t="s">
        <v>561</v>
      </c>
    </row>
    <row r="20" customFormat="false" ht="39" hidden="false" customHeight="true" outlineLevel="0" collapsed="false">
      <c r="A20" s="114" t="n">
        <v>15</v>
      </c>
      <c r="B20" s="4" t="s">
        <v>562</v>
      </c>
      <c r="C20" s="118" t="s">
        <v>538</v>
      </c>
      <c r="D20" s="4" t="s">
        <v>563</v>
      </c>
    </row>
    <row r="21" customFormat="false" ht="64.5" hidden="false" customHeight="true" outlineLevel="0" collapsed="false">
      <c r="A21" s="114" t="n">
        <v>16</v>
      </c>
      <c r="B21" s="4" t="s">
        <v>564</v>
      </c>
      <c r="C21" s="116" t="s">
        <v>530</v>
      </c>
      <c r="D21" s="4" t="s">
        <v>565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1"/>
    <col collapsed="false" customWidth="true" hidden="false" outlineLevel="0" max="11" min="9" style="1" width="14"/>
    <col collapsed="false" customWidth="true" hidden="false" outlineLevel="0" max="12" min="12" style="1" width="12"/>
    <col collapsed="false" customWidth="true" hidden="false" outlineLevel="0" max="13" min="13" style="1" width="28"/>
  </cols>
  <sheetData>
    <row r="1" customFormat="false" ht="27.75" hidden="false" customHeight="true" outlineLevel="0" collapsed="false">
      <c r="A1" s="2" t="s">
        <v>566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119" t="s">
        <v>567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4" customFormat="false" ht="15" hidden="false" customHeight="true" outlineLevel="0" collapsed="false">
      <c r="A4" s="120" t="s">
        <v>568</v>
      </c>
      <c r="B4" s="120" t="s">
        <v>569</v>
      </c>
      <c r="C4" s="120" t="s">
        <v>570</v>
      </c>
      <c r="D4" s="120" t="s">
        <v>571</v>
      </c>
      <c r="E4" s="120" t="s">
        <v>66</v>
      </c>
      <c r="F4" s="120" t="s">
        <v>69</v>
      </c>
      <c r="G4" s="120" t="s">
        <v>572</v>
      </c>
      <c r="H4" s="120" t="s">
        <v>573</v>
      </c>
      <c r="I4" s="120" t="s">
        <v>574</v>
      </c>
      <c r="J4" s="120" t="s">
        <v>575</v>
      </c>
      <c r="K4" s="120" t="s">
        <v>576</v>
      </c>
      <c r="L4" s="120" t="s">
        <v>577</v>
      </c>
      <c r="M4" s="120" t="s">
        <v>230</v>
      </c>
    </row>
    <row r="5" customFormat="false" ht="15" hidden="false" customHeight="true" outlineLevel="0" collapsed="false">
      <c r="J5" s="61" t="n">
        <f aca="false">I5*'2. Inputs'!$C$9*(1+'2. Inputs'!$C$10)</f>
        <v>0</v>
      </c>
      <c r="L5" s="53" t="n">
        <f aca="false">K5-J5</f>
        <v>0</v>
      </c>
    </row>
    <row r="6" customFormat="false" ht="15" hidden="false" customHeight="true" outlineLevel="0" collapsed="false">
      <c r="A6" s="121"/>
      <c r="B6" s="121"/>
      <c r="C6" s="121"/>
      <c r="D6" s="121"/>
      <c r="E6" s="121"/>
      <c r="F6" s="121"/>
      <c r="G6" s="121"/>
      <c r="H6" s="121"/>
      <c r="I6" s="121"/>
      <c r="J6" s="122" t="n">
        <f aca="false">I6*'2. Inputs'!$C$9*(1+'2. Inputs'!$C$10)</f>
        <v>0</v>
      </c>
      <c r="K6" s="121"/>
      <c r="L6" s="123" t="n">
        <f aca="false">K6-J6</f>
        <v>0</v>
      </c>
      <c r="M6" s="121"/>
    </row>
    <row r="7" customFormat="false" ht="15" hidden="false" customHeight="true" outlineLevel="0" collapsed="false">
      <c r="J7" s="61" t="n">
        <f aca="false">I7*'2. Inputs'!$C$9*(1+'2. Inputs'!$C$10)</f>
        <v>0</v>
      </c>
      <c r="L7" s="53" t="n">
        <f aca="false">K7-J7</f>
        <v>0</v>
      </c>
    </row>
    <row r="8" customFormat="false" ht="15" hidden="false" customHeight="true" outlineLevel="0" collapsed="false">
      <c r="A8" s="121"/>
      <c r="B8" s="121"/>
      <c r="C8" s="121"/>
      <c r="D8" s="121"/>
      <c r="E8" s="121"/>
      <c r="F8" s="121"/>
      <c r="G8" s="121"/>
      <c r="H8" s="121"/>
      <c r="I8" s="121"/>
      <c r="J8" s="122" t="n">
        <f aca="false">I8*'2. Inputs'!$C$9*(1+'2. Inputs'!$C$10)</f>
        <v>0</v>
      </c>
      <c r="K8" s="121"/>
      <c r="L8" s="123" t="n">
        <f aca="false">K8-J8</f>
        <v>0</v>
      </c>
      <c r="M8" s="121"/>
    </row>
    <row r="9" customFormat="false" ht="15" hidden="false" customHeight="true" outlineLevel="0" collapsed="false">
      <c r="J9" s="61" t="n">
        <f aca="false">I9*'2. Inputs'!$C$9*(1+'2. Inputs'!$C$10)</f>
        <v>0</v>
      </c>
      <c r="L9" s="53" t="n">
        <f aca="false">K9-J9</f>
        <v>0</v>
      </c>
    </row>
    <row r="10" customFormat="false" ht="15" hidden="false" customHeight="true" outlineLevel="0" collapsed="false">
      <c r="A10" s="121"/>
      <c r="B10" s="121"/>
      <c r="C10" s="121"/>
      <c r="D10" s="121"/>
      <c r="E10" s="121"/>
      <c r="F10" s="121"/>
      <c r="G10" s="121"/>
      <c r="H10" s="121"/>
      <c r="I10" s="121"/>
      <c r="J10" s="122" t="n">
        <f aca="false">I10*'2. Inputs'!$C$9*(1+'2. Inputs'!$C$10)</f>
        <v>0</v>
      </c>
      <c r="K10" s="121"/>
      <c r="L10" s="123" t="n">
        <f aca="false">K10-J10</f>
        <v>0</v>
      </c>
      <c r="M10" s="121"/>
    </row>
    <row r="11" customFormat="false" ht="15" hidden="false" customHeight="true" outlineLevel="0" collapsed="false">
      <c r="J11" s="61" t="n">
        <f aca="false">I11*'2. Inputs'!$C$9*(1+'2. Inputs'!$C$10)</f>
        <v>0</v>
      </c>
      <c r="L11" s="53" t="n">
        <f aca="false">K11-J11</f>
        <v>0</v>
      </c>
    </row>
    <row r="12" customFormat="false" ht="15" hidden="false" customHeight="true" outlineLevel="0" collapsed="false">
      <c r="A12" s="121"/>
      <c r="B12" s="121"/>
      <c r="C12" s="121"/>
      <c r="D12" s="121"/>
      <c r="E12" s="121"/>
      <c r="F12" s="121"/>
      <c r="G12" s="121"/>
      <c r="H12" s="121"/>
      <c r="I12" s="121"/>
      <c r="J12" s="122" t="n">
        <f aca="false">I12*'2. Inputs'!$C$9*(1+'2. Inputs'!$C$10)</f>
        <v>0</v>
      </c>
      <c r="K12" s="121"/>
      <c r="L12" s="123" t="n">
        <f aca="false">K12-J12</f>
        <v>0</v>
      </c>
      <c r="M12" s="121"/>
    </row>
    <row r="13" customFormat="false" ht="15" hidden="false" customHeight="true" outlineLevel="0" collapsed="false">
      <c r="J13" s="61" t="n">
        <f aca="false">I13*'2. Inputs'!$C$9*(1+'2. Inputs'!$C$10)</f>
        <v>0</v>
      </c>
      <c r="L13" s="53" t="n">
        <f aca="false">K13-J13</f>
        <v>0</v>
      </c>
    </row>
    <row r="14" customFormat="false" ht="15" hidden="false" customHeight="true" outlineLevel="0" collapsed="false">
      <c r="A14" s="121"/>
      <c r="B14" s="121"/>
      <c r="C14" s="121"/>
      <c r="D14" s="121"/>
      <c r="E14" s="121"/>
      <c r="F14" s="121"/>
      <c r="G14" s="121"/>
      <c r="H14" s="121"/>
      <c r="I14" s="121"/>
      <c r="J14" s="122" t="n">
        <f aca="false">I14*'2. Inputs'!$C$9*(1+'2. Inputs'!$C$10)</f>
        <v>0</v>
      </c>
      <c r="K14" s="121"/>
      <c r="L14" s="123" t="n">
        <f aca="false">K14-J14</f>
        <v>0</v>
      </c>
      <c r="M14" s="121"/>
    </row>
    <row r="15" customFormat="false" ht="15" hidden="false" customHeight="true" outlineLevel="0" collapsed="false">
      <c r="J15" s="61" t="n">
        <f aca="false">I15*'2. Inputs'!$C$9*(1+'2. Inputs'!$C$10)</f>
        <v>0</v>
      </c>
      <c r="L15" s="53" t="n">
        <f aca="false">K15-J15</f>
        <v>0</v>
      </c>
    </row>
    <row r="16" customFormat="false" ht="15" hidden="false" customHeight="true" outlineLevel="0" collapsed="false">
      <c r="A16" s="121"/>
      <c r="B16" s="121"/>
      <c r="C16" s="121"/>
      <c r="D16" s="121"/>
      <c r="E16" s="121"/>
      <c r="F16" s="121"/>
      <c r="G16" s="121"/>
      <c r="H16" s="121"/>
      <c r="I16" s="121"/>
      <c r="J16" s="122" t="n">
        <f aca="false">I16*'2. Inputs'!$C$9*(1+'2. Inputs'!$C$10)</f>
        <v>0</v>
      </c>
      <c r="K16" s="121"/>
      <c r="L16" s="123" t="n">
        <f aca="false">K16-J16</f>
        <v>0</v>
      </c>
      <c r="M16" s="121"/>
    </row>
    <row r="17" customFormat="false" ht="15" hidden="false" customHeight="true" outlineLevel="0" collapsed="false">
      <c r="J17" s="61" t="n">
        <f aca="false">I17*'2. Inputs'!$C$9*(1+'2. Inputs'!$C$10)</f>
        <v>0</v>
      </c>
      <c r="L17" s="53" t="n">
        <f aca="false">K17-J17</f>
        <v>0</v>
      </c>
    </row>
    <row r="18" customFormat="false" ht="15" hidden="false" customHeight="true" outlineLevel="0" collapsed="false">
      <c r="A18" s="121"/>
      <c r="B18" s="121"/>
      <c r="C18" s="121"/>
      <c r="D18" s="121"/>
      <c r="E18" s="121"/>
      <c r="F18" s="121"/>
      <c r="G18" s="121"/>
      <c r="H18" s="121"/>
      <c r="I18" s="121"/>
      <c r="J18" s="122" t="n">
        <f aca="false">I18*'2. Inputs'!$C$9*(1+'2. Inputs'!$C$10)</f>
        <v>0</v>
      </c>
      <c r="K18" s="121"/>
      <c r="L18" s="123" t="n">
        <f aca="false">K18-J18</f>
        <v>0</v>
      </c>
      <c r="M18" s="121"/>
    </row>
    <row r="19" customFormat="false" ht="15" hidden="false" customHeight="true" outlineLevel="0" collapsed="false">
      <c r="J19" s="61" t="n">
        <f aca="false">I19*'2. Inputs'!$C$9*(1+'2. Inputs'!$C$10)</f>
        <v>0</v>
      </c>
      <c r="L19" s="53" t="n">
        <f aca="false">K19-J19</f>
        <v>0</v>
      </c>
    </row>
    <row r="20" customFormat="false" ht="15" hidden="false" customHeight="true" outlineLevel="0" collapsed="false">
      <c r="A20" s="121"/>
      <c r="B20" s="121"/>
      <c r="C20" s="121"/>
      <c r="D20" s="121"/>
      <c r="E20" s="121"/>
      <c r="F20" s="121"/>
      <c r="G20" s="121"/>
      <c r="H20" s="121"/>
      <c r="I20" s="121"/>
      <c r="J20" s="122" t="n">
        <f aca="false">I20*'2. Inputs'!$C$9*(1+'2. Inputs'!$C$10)</f>
        <v>0</v>
      </c>
      <c r="K20" s="121"/>
      <c r="L20" s="123" t="n">
        <f aca="false">K20-J20</f>
        <v>0</v>
      </c>
      <c r="M20" s="121"/>
    </row>
    <row r="21" customFormat="false" ht="15" hidden="false" customHeight="true" outlineLevel="0" collapsed="false">
      <c r="J21" s="61" t="n">
        <f aca="false">I21*'2. Inputs'!$C$9*(1+'2. Inputs'!$C$10)</f>
        <v>0</v>
      </c>
      <c r="L21" s="53" t="n">
        <f aca="false">K21-J21</f>
        <v>0</v>
      </c>
    </row>
    <row r="22" customFormat="false" ht="15" hidden="false" customHeight="true" outlineLevel="0" collapsed="false">
      <c r="A22" s="121"/>
      <c r="B22" s="121"/>
      <c r="C22" s="121"/>
      <c r="D22" s="121"/>
      <c r="E22" s="121"/>
      <c r="F22" s="121"/>
      <c r="G22" s="121"/>
      <c r="H22" s="121"/>
      <c r="I22" s="121"/>
      <c r="J22" s="122" t="n">
        <f aca="false">I22*'2. Inputs'!$C$9*(1+'2. Inputs'!$C$10)</f>
        <v>0</v>
      </c>
      <c r="K22" s="121"/>
      <c r="L22" s="123" t="n">
        <f aca="false">K22-J22</f>
        <v>0</v>
      </c>
      <c r="M22" s="121"/>
    </row>
    <row r="23" customFormat="false" ht="15" hidden="false" customHeight="true" outlineLevel="0" collapsed="false">
      <c r="J23" s="61" t="n">
        <f aca="false">I23*'2. Inputs'!$C$9*(1+'2. Inputs'!$C$10)</f>
        <v>0</v>
      </c>
      <c r="L23" s="53" t="n">
        <f aca="false">K23-J23</f>
        <v>0</v>
      </c>
    </row>
    <row r="24" customFormat="false" ht="15" hidden="false" customHeight="true" outlineLevel="0" collapsed="false">
      <c r="A24" s="121"/>
      <c r="B24" s="121"/>
      <c r="C24" s="121"/>
      <c r="D24" s="121"/>
      <c r="E24" s="121"/>
      <c r="F24" s="121"/>
      <c r="G24" s="121"/>
      <c r="H24" s="121"/>
      <c r="I24" s="121"/>
      <c r="J24" s="122" t="n">
        <f aca="false">I24*'2. Inputs'!$C$9*(1+'2. Inputs'!$C$10)</f>
        <v>0</v>
      </c>
      <c r="K24" s="121"/>
      <c r="L24" s="123" t="n">
        <f aca="false">K24-J24</f>
        <v>0</v>
      </c>
      <c r="M24" s="121"/>
    </row>
    <row r="27" customFormat="false" ht="15" hidden="false" customHeight="true" outlineLevel="0" collapsed="false">
      <c r="A27" s="71" t="s">
        <v>578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</row>
    <row r="28" customFormat="false" ht="15" hidden="false" customHeight="true" outlineLevel="0" collapsed="false">
      <c r="A28" s="10" t="s">
        <v>579</v>
      </c>
      <c r="B28" s="78" t="n">
        <f aca="false">COUNTA(A5:A24)</f>
        <v>0</v>
      </c>
    </row>
    <row r="29" customFormat="false" ht="15" hidden="false" customHeight="true" outlineLevel="0" collapsed="false">
      <c r="A29" s="10" t="s">
        <v>580</v>
      </c>
      <c r="B29" s="79" t="n">
        <f aca="false">SUM(J5:J24)</f>
        <v>0</v>
      </c>
    </row>
    <row r="30" customFormat="false" ht="15" hidden="false" customHeight="true" outlineLevel="0" collapsed="false">
      <c r="A30" s="10" t="s">
        <v>581</v>
      </c>
      <c r="B30" s="48" t="n">
        <f aca="false">IFERROR(B29/B28,0)</f>
        <v>0</v>
      </c>
    </row>
    <row r="31" customFormat="false" ht="15" hidden="false" customHeight="true" outlineLevel="0" collapsed="false">
      <c r="A31" s="10" t="s">
        <v>582</v>
      </c>
      <c r="B31" s="79" t="n">
        <f aca="false">SUM(L5:L24)</f>
        <v>0</v>
      </c>
    </row>
    <row r="33" customFormat="false" ht="15" hidden="false" customHeight="true" outlineLevel="0" collapsed="false">
      <c r="A33" s="107" t="s">
        <v>583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</row>
  </sheetData>
  <mergeCells count="4">
    <mergeCell ref="A1:M1"/>
    <mergeCell ref="A2:M2"/>
    <mergeCell ref="A27:M27"/>
    <mergeCell ref="A33:M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  <col collapsed="false" customWidth="true" hidden="false" outlineLevel="0" max="6" min="6" style="1" width="36"/>
  </cols>
  <sheetData>
    <row r="1" customFormat="false" ht="27.75" hidden="false" customHeight="true" outlineLevel="0" collapsed="false">
      <c r="A1" s="2" t="s">
        <v>584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1" t="s">
        <v>585</v>
      </c>
      <c r="B2" s="11"/>
      <c r="C2" s="11"/>
      <c r="D2" s="11"/>
      <c r="E2" s="11"/>
      <c r="F2" s="11"/>
    </row>
    <row r="4" customFormat="false" ht="15" hidden="false" customHeight="true" outlineLevel="0" collapsed="false">
      <c r="A4" s="76" t="s">
        <v>379</v>
      </c>
      <c r="B4" s="76" t="s">
        <v>586</v>
      </c>
      <c r="C4" s="76" t="s">
        <v>587</v>
      </c>
      <c r="D4" s="76" t="s">
        <v>588</v>
      </c>
      <c r="E4" s="76" t="s">
        <v>589</v>
      </c>
      <c r="F4" s="76" t="s">
        <v>230</v>
      </c>
    </row>
    <row r="5" customFormat="false" ht="15" hidden="false" customHeight="true" outlineLevel="0" collapsed="false">
      <c r="A5" s="10" t="s">
        <v>590</v>
      </c>
      <c r="B5" s="55" t="n">
        <f aca="false">'2. Inputs'!$C$44</f>
        <v>4999</v>
      </c>
      <c r="C5" s="55" t="n">
        <f aca="false">'2. Inputs'!$C$95</f>
        <v>2999</v>
      </c>
      <c r="D5" s="55" t="n">
        <f aca="false">'2. Inputs'!$C$98</f>
        <v>4999</v>
      </c>
      <c r="E5" s="55" t="n">
        <f aca="false">'2. Inputs'!$C$101</f>
        <v>9999</v>
      </c>
      <c r="F5" s="31" t="s">
        <v>591</v>
      </c>
    </row>
    <row r="6" customFormat="false" ht="15" hidden="false" customHeight="true" outlineLevel="0" collapsed="false">
      <c r="A6" s="10" t="s">
        <v>592</v>
      </c>
      <c r="B6" s="30" t="n">
        <v>1</v>
      </c>
      <c r="C6" s="60" t="n">
        <f aca="false">'2. Inputs'!$C$96</f>
        <v>5</v>
      </c>
      <c r="D6" s="60" t="n">
        <f aca="false">'2. Inputs'!$C$99</f>
        <v>10</v>
      </c>
      <c r="E6" s="60" t="n">
        <f aca="false">'2. Inputs'!$C$102</f>
        <v>20</v>
      </c>
    </row>
    <row r="7" customFormat="false" ht="15" hidden="false" customHeight="true" outlineLevel="0" collapsed="false">
      <c r="A7" s="10" t="s">
        <v>593</v>
      </c>
      <c r="B7" s="30" t="n">
        <f aca="false">'2. Inputs'!$C$45</f>
        <v>25</v>
      </c>
      <c r="C7" s="60" t="n">
        <f aca="false">'2. Inputs'!$C$97</f>
        <v>100</v>
      </c>
      <c r="D7" s="60" t="n">
        <f aca="false">'2. Inputs'!$C$100</f>
        <v>200</v>
      </c>
      <c r="E7" s="60" t="n">
        <f aca="false">'2. Inputs'!$C$103</f>
        <v>500</v>
      </c>
    </row>
    <row r="9" customFormat="false" ht="15" hidden="false" customHeight="true" outlineLevel="0" collapsed="false">
      <c r="A9" s="9" t="s">
        <v>594</v>
      </c>
      <c r="B9" s="124" t="n">
        <f aca="false">B5/B7</f>
        <v>199.96</v>
      </c>
      <c r="C9" s="124" t="n">
        <f aca="false">C5/C7</f>
        <v>29.99</v>
      </c>
      <c r="D9" s="124" t="n">
        <f aca="false">D5/D7</f>
        <v>24.995</v>
      </c>
      <c r="E9" s="124" t="n">
        <f aca="false">E5/E7</f>
        <v>19.998</v>
      </c>
    </row>
    <row r="10" customFormat="false" ht="15" hidden="false" customHeight="true" outlineLevel="0" collapsed="false">
      <c r="A10" s="10" t="s">
        <v>366</v>
      </c>
      <c r="B10" s="61" t="n">
        <f aca="false">'3. API Cost Reality'!$E$22</f>
        <v>56.3299578947368</v>
      </c>
      <c r="C10" s="61" t="n">
        <f aca="false">'3. API Cost Reality'!$E$22</f>
        <v>56.3299578947368</v>
      </c>
      <c r="D10" s="61" t="n">
        <f aca="false">'3. API Cost Reality'!$E$22</f>
        <v>56.3299578947368</v>
      </c>
      <c r="E10" s="61" t="n">
        <f aca="false">'3. API Cost Reality'!$E$22</f>
        <v>56.3299578947368</v>
      </c>
    </row>
    <row r="11" customFormat="false" ht="15" hidden="false" customHeight="true" outlineLevel="0" collapsed="false">
      <c r="A11" s="10" t="s">
        <v>595</v>
      </c>
      <c r="B11" s="53" t="n">
        <f aca="false">B9*'2. Inputs'!$C$48</f>
        <v>7.058588</v>
      </c>
      <c r="C11" s="53" t="n">
        <f aca="false">C9*'2. Inputs'!$C$48</f>
        <v>1.058647</v>
      </c>
      <c r="D11" s="53" t="n">
        <f aca="false">D9*'2. Inputs'!$C$48</f>
        <v>0.8823235</v>
      </c>
      <c r="E11" s="53" t="n">
        <f aca="false">E9*'2. Inputs'!$C$48</f>
        <v>0.7059294</v>
      </c>
    </row>
    <row r="12" customFormat="false" ht="15" hidden="false" customHeight="true" outlineLevel="0" collapsed="false">
      <c r="A12" s="56" t="s">
        <v>409</v>
      </c>
      <c r="B12" s="48" t="n">
        <f aca="false">B9-B10-B11</f>
        <v>136.571454105263</v>
      </c>
      <c r="C12" s="48" t="n">
        <f aca="false">C9-C10-C11</f>
        <v>-27.3986048947368</v>
      </c>
      <c r="D12" s="48" t="n">
        <f aca="false">D9-D10-D11</f>
        <v>-32.2172813947368</v>
      </c>
      <c r="E12" s="48" t="n">
        <f aca="false">E9-E10-E11</f>
        <v>-37.0378872947368</v>
      </c>
    </row>
    <row r="13" customFormat="false" ht="15" hidden="false" customHeight="true" outlineLevel="0" collapsed="false">
      <c r="A13" s="9" t="s">
        <v>341</v>
      </c>
      <c r="B13" s="62" t="n">
        <f aca="false">B12/B9</f>
        <v>0.682993869300176</v>
      </c>
      <c r="C13" s="62" t="n">
        <f aca="false">C12/C9</f>
        <v>-0.913591360277987</v>
      </c>
      <c r="D13" s="62" t="n">
        <f aca="false">D12/D9</f>
        <v>-1.28894904559859</v>
      </c>
      <c r="E13" s="62" t="n">
        <f aca="false">E12/E9</f>
        <v>-1.85207957269411</v>
      </c>
    </row>
    <row r="15" customFormat="false" ht="15" hidden="false" customHeight="true" outlineLevel="0" collapsed="false">
      <c r="A15" s="28" t="s">
        <v>596</v>
      </c>
      <c r="B15" s="28"/>
      <c r="C15" s="28"/>
      <c r="D15" s="28"/>
      <c r="E15" s="28"/>
      <c r="F15" s="28"/>
    </row>
    <row r="16" customFormat="false" ht="15" hidden="false" customHeight="true" outlineLevel="0" collapsed="false">
      <c r="A16" s="10" t="s">
        <v>597</v>
      </c>
    </row>
    <row r="17" customFormat="false" ht="15" hidden="false" customHeight="true" outlineLevel="0" collapsed="false">
      <c r="A17" s="10" t="s">
        <v>598</v>
      </c>
      <c r="B17" s="55" t="n">
        <f aca="false">'2. Inputs'!$C$44</f>
        <v>4999</v>
      </c>
      <c r="C17" s="125" t="s">
        <v>599</v>
      </c>
    </row>
    <row r="18" customFormat="false" ht="15" hidden="false" customHeight="true" outlineLevel="0" collapsed="false">
      <c r="A18" s="10" t="s">
        <v>600</v>
      </c>
    </row>
    <row r="19" customFormat="false" ht="15" hidden="false" customHeight="true" outlineLevel="0" collapsed="false">
      <c r="A19" s="10" t="s">
        <v>601</v>
      </c>
      <c r="B19" s="55" t="n">
        <f aca="false">'2. Inputs'!$C$95</f>
        <v>2999</v>
      </c>
      <c r="C19" s="125" t="s">
        <v>602</v>
      </c>
    </row>
    <row r="20" customFormat="false" ht="15" hidden="false" customHeight="true" outlineLevel="0" collapsed="false">
      <c r="A20" s="58" t="s">
        <v>603</v>
      </c>
      <c r="B20" s="63" t="n">
        <f aca="false">'2. Inputs'!$C$95*12-'2. Inputs'!$C$44</f>
        <v>30989</v>
      </c>
      <c r="C20" s="125" t="s">
        <v>604</v>
      </c>
    </row>
    <row r="22" customFormat="false" ht="15" hidden="false" customHeight="true" outlineLevel="0" collapsed="false">
      <c r="A22" s="28" t="s">
        <v>605</v>
      </c>
      <c r="B22" s="28"/>
      <c r="C22" s="28"/>
      <c r="D22" s="28"/>
      <c r="E22" s="28"/>
      <c r="F22" s="28"/>
    </row>
    <row r="23" customFormat="false" ht="15" hidden="false" customHeight="true" outlineLevel="0" collapsed="false">
      <c r="A23" s="40" t="s">
        <v>606</v>
      </c>
      <c r="B23" s="40"/>
      <c r="C23" s="40"/>
      <c r="D23" s="40"/>
      <c r="E23" s="40"/>
      <c r="F23" s="40"/>
    </row>
    <row r="24" customFormat="false" ht="15" hidden="false" customHeight="true" outlineLevel="0" collapsed="false">
      <c r="A24" s="39" t="s">
        <v>607</v>
      </c>
      <c r="B24" s="39"/>
      <c r="C24" s="39"/>
      <c r="D24" s="39"/>
      <c r="E24" s="39"/>
      <c r="F24" s="39"/>
    </row>
    <row r="25" customFormat="false" ht="15" hidden="false" customHeight="true" outlineLevel="0" collapsed="false">
      <c r="A25" s="11" t="s">
        <v>608</v>
      </c>
      <c r="B25" s="11"/>
      <c r="C25" s="11"/>
      <c r="D25" s="11"/>
      <c r="E25" s="11"/>
      <c r="F25" s="11"/>
    </row>
  </sheetData>
  <mergeCells count="7">
    <mergeCell ref="A1:F1"/>
    <mergeCell ref="A2:F2"/>
    <mergeCell ref="A15:F15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2026-04-27T16:50:10Z</dcterms:created>
  <dc:creator>openpyxl</dc:creator>
  <dc:description/>
  <dc:language>en-US</dc:language>
  <cp:lastModifiedBy/>
  <dcterms:modified xsi:type="dcterms:W3CDTF">2026-04-27T17:36:13Z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